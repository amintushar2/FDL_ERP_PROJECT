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Confirm Orders\Pacific Collection\3rd - PO53920\"/>
    </mc:Choice>
  </mc:AlternateContent>
  <xr:revisionPtr revIDLastSave="0" documentId="13_ncr:1_{CCD32140-2D8B-44F9-B886-85D206DF578A}" xr6:coauthVersionLast="47" xr6:coauthVersionMax="47" xr10:uidLastSave="{00000000-0000-0000-0000-000000000000}"/>
  <bookViews>
    <workbookView xWindow="-120" yWindow="-120" windowWidth="20730" windowHeight="11040" tabRatio="782" firstSheet="34" activeTab="47" xr2:uid="{00000000-000D-0000-FFFF-FFFF00000000}"/>
  </bookViews>
  <sheets>
    <sheet name="361KP" sheetId="180" r:id="rId1"/>
    <sheet name="364KP" sheetId="181" r:id="rId2"/>
    <sheet name="368KP" sheetId="182" r:id="rId3"/>
    <sheet name="378KP" sheetId="183" r:id="rId4"/>
    <sheet name="682WK" sheetId="184" r:id="rId5"/>
    <sheet name="683WK" sheetId="185" r:id="rId6"/>
    <sheet name="685WK" sheetId="186" r:id="rId7"/>
    <sheet name="688WK" sheetId="187" r:id="rId8"/>
    <sheet name="220DF" sheetId="188" r:id="rId9"/>
    <sheet name="221DF" sheetId="189" r:id="rId10"/>
    <sheet name="271R" sheetId="190" r:id="rId11"/>
    <sheet name="KMP58" sheetId="191" r:id="rId12"/>
    <sheet name="KMT41" sheetId="192" r:id="rId13"/>
    <sheet name="KMT42" sheetId="193" r:id="rId14"/>
    <sheet name="KWH88" sheetId="194" r:id="rId15"/>
    <sheet name="KWT70" sheetId="195" r:id="rId16"/>
    <sheet name="26QT" sheetId="226" r:id="rId17"/>
    <sheet name="107KP" sheetId="196" r:id="rId18"/>
    <sheet name="134KP" sheetId="197" r:id="rId19"/>
    <sheet name="137KP" sheetId="198" r:id="rId20"/>
    <sheet name="160KP" sheetId="199" r:id="rId21"/>
    <sheet name="600KP" sheetId="200" r:id="rId22"/>
    <sheet name="604KP" sheetId="201" r:id="rId23"/>
    <sheet name="606KP" sheetId="202" r:id="rId24"/>
    <sheet name="08WK" sheetId="203" r:id="rId25"/>
    <sheet name="14WK" sheetId="204" r:id="rId26"/>
    <sheet name="75WK" sheetId="205" r:id="rId27"/>
    <sheet name="81WK" sheetId="206" r:id="rId28"/>
    <sheet name="157WK" sheetId="207" r:id="rId29"/>
    <sheet name="161WK" sheetId="208" r:id="rId30"/>
    <sheet name="165KA" sheetId="209" r:id="rId31"/>
    <sheet name="166NA" sheetId="210" r:id="rId32"/>
    <sheet name="168BL" sheetId="211" r:id="rId33"/>
    <sheet name="169WK" sheetId="212" r:id="rId34"/>
    <sheet name="171WK" sheetId="213" r:id="rId35"/>
    <sheet name="115KP" sheetId="214" r:id="rId36"/>
    <sheet name="119KP" sheetId="215" r:id="rId37"/>
    <sheet name="140KP" sheetId="216" r:id="rId38"/>
    <sheet name="173KP" sheetId="217" r:id="rId39"/>
    <sheet name="24VT" sheetId="218" r:id="rId40"/>
    <sheet name="29FT" sheetId="219" r:id="rId41"/>
    <sheet name="31VT" sheetId="220" r:id="rId42"/>
    <sheet name="32FT" sheetId="221" r:id="rId43"/>
    <sheet name="39VT" sheetId="222" r:id="rId44"/>
    <sheet name="50FT" sheetId="223" r:id="rId45"/>
    <sheet name="60FT" sheetId="224" r:id="rId46"/>
    <sheet name="61FT" sheetId="225" r:id="rId47"/>
    <sheet name="SUMMARY" sheetId="31" r:id="rId48"/>
  </sheets>
  <definedNames>
    <definedName name="Art" localSheetId="24">#REF!</definedName>
    <definedName name="Art" localSheetId="17">#REF!</definedName>
    <definedName name="Art" localSheetId="35">#REF!</definedName>
    <definedName name="Art" localSheetId="36">#REF!</definedName>
    <definedName name="Art" localSheetId="18">#REF!</definedName>
    <definedName name="Art" localSheetId="19">#REF!</definedName>
    <definedName name="Art" localSheetId="37">#REF!</definedName>
    <definedName name="Art" localSheetId="25">#REF!</definedName>
    <definedName name="Art" localSheetId="28">#REF!</definedName>
    <definedName name="Art" localSheetId="20">#REF!</definedName>
    <definedName name="Art" localSheetId="29">#REF!</definedName>
    <definedName name="Art" localSheetId="30">#REF!</definedName>
    <definedName name="Art" localSheetId="31">#REF!</definedName>
    <definedName name="Art" localSheetId="32">#REF!</definedName>
    <definedName name="Art" localSheetId="33">#REF!</definedName>
    <definedName name="Art" localSheetId="34">#REF!</definedName>
    <definedName name="Art" localSheetId="38">#REF!</definedName>
    <definedName name="Art" localSheetId="8">#REF!</definedName>
    <definedName name="Art" localSheetId="9">#REF!</definedName>
    <definedName name="Art" localSheetId="39">#REF!</definedName>
    <definedName name="Art" localSheetId="16">#REF!</definedName>
    <definedName name="Art" localSheetId="10">#REF!</definedName>
    <definedName name="Art" localSheetId="40">#REF!</definedName>
    <definedName name="Art" localSheetId="41">#REF!</definedName>
    <definedName name="Art" localSheetId="42">#REF!</definedName>
    <definedName name="Art" localSheetId="0">#REF!</definedName>
    <definedName name="Art" localSheetId="1">#REF!</definedName>
    <definedName name="Art" localSheetId="2">#REF!</definedName>
    <definedName name="Art" localSheetId="3">#REF!</definedName>
    <definedName name="Art" localSheetId="43">#REF!</definedName>
    <definedName name="Art" localSheetId="44">#REF!</definedName>
    <definedName name="Art" localSheetId="21">#REF!</definedName>
    <definedName name="Art" localSheetId="22">#REF!</definedName>
    <definedName name="Art" localSheetId="23">#REF!</definedName>
    <definedName name="Art" localSheetId="45">#REF!</definedName>
    <definedName name="Art" localSheetId="46">#REF!</definedName>
    <definedName name="Art" localSheetId="4">#REF!</definedName>
    <definedName name="Art" localSheetId="5">#REF!</definedName>
    <definedName name="Art" localSheetId="6">#REF!</definedName>
    <definedName name="Art" localSheetId="7">#REF!</definedName>
    <definedName name="Art" localSheetId="26">#REF!</definedName>
    <definedName name="Art" localSheetId="27">#REF!</definedName>
    <definedName name="Art" localSheetId="11">#REF!</definedName>
    <definedName name="Art" localSheetId="12">#REF!</definedName>
    <definedName name="Art" localSheetId="13">#REF!</definedName>
    <definedName name="Art" localSheetId="14">#REF!</definedName>
    <definedName name="Art" localSheetId="15">#REF!</definedName>
    <definedName name="Art">#REF!</definedName>
    <definedName name="codart" localSheetId="24">#REF!</definedName>
    <definedName name="codart" localSheetId="17">#REF!</definedName>
    <definedName name="codart" localSheetId="35">#REF!</definedName>
    <definedName name="codart" localSheetId="36">#REF!</definedName>
    <definedName name="codart" localSheetId="18">#REF!</definedName>
    <definedName name="codart" localSheetId="19">#REF!</definedName>
    <definedName name="codart" localSheetId="37">#REF!</definedName>
    <definedName name="codart" localSheetId="25">#REF!</definedName>
    <definedName name="codart" localSheetId="28">#REF!</definedName>
    <definedName name="codart" localSheetId="20">#REF!</definedName>
    <definedName name="codart" localSheetId="29">#REF!</definedName>
    <definedName name="codart" localSheetId="30">#REF!</definedName>
    <definedName name="codart" localSheetId="31">#REF!</definedName>
    <definedName name="codart" localSheetId="32">#REF!</definedName>
    <definedName name="codart" localSheetId="33">#REF!</definedName>
    <definedName name="codart" localSheetId="34">#REF!</definedName>
    <definedName name="codart" localSheetId="38">#REF!</definedName>
    <definedName name="codart" localSheetId="8">#REF!</definedName>
    <definedName name="codart" localSheetId="9">#REF!</definedName>
    <definedName name="codart" localSheetId="39">#REF!</definedName>
    <definedName name="codart" localSheetId="16">#REF!</definedName>
    <definedName name="codart" localSheetId="10">#REF!</definedName>
    <definedName name="codart" localSheetId="40">#REF!</definedName>
    <definedName name="codart" localSheetId="41">#REF!</definedName>
    <definedName name="codart" localSheetId="42">#REF!</definedName>
    <definedName name="codart" localSheetId="0">#REF!</definedName>
    <definedName name="codart" localSheetId="1">#REF!</definedName>
    <definedName name="codart" localSheetId="2">#REF!</definedName>
    <definedName name="codart" localSheetId="3">#REF!</definedName>
    <definedName name="codart" localSheetId="43">#REF!</definedName>
    <definedName name="codart" localSheetId="44">#REF!</definedName>
    <definedName name="codart" localSheetId="21">#REF!</definedName>
    <definedName name="codart" localSheetId="22">#REF!</definedName>
    <definedName name="codart" localSheetId="23">#REF!</definedName>
    <definedName name="codart" localSheetId="45">#REF!</definedName>
    <definedName name="codart" localSheetId="46">#REF!</definedName>
    <definedName name="codart" localSheetId="4">#REF!</definedName>
    <definedName name="codart" localSheetId="5">#REF!</definedName>
    <definedName name="codart" localSheetId="6">#REF!</definedName>
    <definedName name="codart" localSheetId="7">#REF!</definedName>
    <definedName name="codart" localSheetId="26">#REF!</definedName>
    <definedName name="codart" localSheetId="27">#REF!</definedName>
    <definedName name="codart" localSheetId="11">#REF!</definedName>
    <definedName name="codart" localSheetId="12">#REF!</definedName>
    <definedName name="codart" localSheetId="13">#REF!</definedName>
    <definedName name="codart" localSheetId="14">#REF!</definedName>
    <definedName name="codart" localSheetId="15">#REF!</definedName>
    <definedName name="codart">#REF!</definedName>
    <definedName name="Data" localSheetId="24">#REF!</definedName>
    <definedName name="Data" localSheetId="17">#REF!</definedName>
    <definedName name="Data" localSheetId="35">#REF!</definedName>
    <definedName name="Data" localSheetId="36">#REF!</definedName>
    <definedName name="Data" localSheetId="18">#REF!</definedName>
    <definedName name="Data" localSheetId="19">#REF!</definedName>
    <definedName name="Data" localSheetId="37">#REF!</definedName>
    <definedName name="Data" localSheetId="25">#REF!</definedName>
    <definedName name="Data" localSheetId="28">#REF!</definedName>
    <definedName name="Data" localSheetId="20">#REF!</definedName>
    <definedName name="Data" localSheetId="29">#REF!</definedName>
    <definedName name="Data" localSheetId="30">#REF!</definedName>
    <definedName name="Data" localSheetId="31">#REF!</definedName>
    <definedName name="Data" localSheetId="32">#REF!</definedName>
    <definedName name="Data" localSheetId="33">#REF!</definedName>
    <definedName name="Data" localSheetId="34">#REF!</definedName>
    <definedName name="Data" localSheetId="38">#REF!</definedName>
    <definedName name="Data" localSheetId="8">#REF!</definedName>
    <definedName name="Data" localSheetId="9">#REF!</definedName>
    <definedName name="Data" localSheetId="39">#REF!</definedName>
    <definedName name="Data" localSheetId="16">#REF!</definedName>
    <definedName name="Data" localSheetId="10">#REF!</definedName>
    <definedName name="Data" localSheetId="40">#REF!</definedName>
    <definedName name="Data" localSheetId="41">#REF!</definedName>
    <definedName name="Data" localSheetId="42">#REF!</definedName>
    <definedName name="Data" localSheetId="0">#REF!</definedName>
    <definedName name="Data" localSheetId="1">#REF!</definedName>
    <definedName name="Data" localSheetId="2">#REF!</definedName>
    <definedName name="Data" localSheetId="3">#REF!</definedName>
    <definedName name="Data" localSheetId="43">#REF!</definedName>
    <definedName name="Data" localSheetId="44">#REF!</definedName>
    <definedName name="Data" localSheetId="21">#REF!</definedName>
    <definedName name="Data" localSheetId="22">#REF!</definedName>
    <definedName name="Data" localSheetId="23">#REF!</definedName>
    <definedName name="Data" localSheetId="45">#REF!</definedName>
    <definedName name="Data" localSheetId="46">#REF!</definedName>
    <definedName name="Data" localSheetId="4">#REF!</definedName>
    <definedName name="Data" localSheetId="5">#REF!</definedName>
    <definedName name="Data" localSheetId="6">#REF!</definedName>
    <definedName name="Data" localSheetId="7">#REF!</definedName>
    <definedName name="Data" localSheetId="26">#REF!</definedName>
    <definedName name="Data" localSheetId="27">#REF!</definedName>
    <definedName name="Data" localSheetId="11">#REF!</definedName>
    <definedName name="Data" localSheetId="12">#REF!</definedName>
    <definedName name="Data" localSheetId="13">#REF!</definedName>
    <definedName name="Data" localSheetId="14">#REF!</definedName>
    <definedName name="Data" localSheetId="15">#REF!</definedName>
    <definedName name="Data">#REF!</definedName>
    <definedName name="Fornitore" localSheetId="24">#REF!</definedName>
    <definedName name="Fornitore" localSheetId="17">#REF!</definedName>
    <definedName name="Fornitore" localSheetId="35">#REF!</definedName>
    <definedName name="Fornitore" localSheetId="36">#REF!</definedName>
    <definedName name="Fornitore" localSheetId="18">#REF!</definedName>
    <definedName name="Fornitore" localSheetId="19">#REF!</definedName>
    <definedName name="Fornitore" localSheetId="37">#REF!</definedName>
    <definedName name="Fornitore" localSheetId="25">#REF!</definedName>
    <definedName name="Fornitore" localSheetId="28">#REF!</definedName>
    <definedName name="Fornitore" localSheetId="20">#REF!</definedName>
    <definedName name="Fornitore" localSheetId="29">#REF!</definedName>
    <definedName name="Fornitore" localSheetId="30">#REF!</definedName>
    <definedName name="Fornitore" localSheetId="31">#REF!</definedName>
    <definedName name="Fornitore" localSheetId="32">#REF!</definedName>
    <definedName name="Fornitore" localSheetId="33">#REF!</definedName>
    <definedName name="Fornitore" localSheetId="34">#REF!</definedName>
    <definedName name="Fornitore" localSheetId="38">#REF!</definedName>
    <definedName name="Fornitore" localSheetId="8">#REF!</definedName>
    <definedName name="Fornitore" localSheetId="9">#REF!</definedName>
    <definedName name="Fornitore" localSheetId="39">#REF!</definedName>
    <definedName name="Fornitore" localSheetId="16">#REF!</definedName>
    <definedName name="Fornitore" localSheetId="10">#REF!</definedName>
    <definedName name="Fornitore" localSheetId="40">#REF!</definedName>
    <definedName name="Fornitore" localSheetId="41">#REF!</definedName>
    <definedName name="Fornitore" localSheetId="42">#REF!</definedName>
    <definedName name="Fornitore" localSheetId="0">#REF!</definedName>
    <definedName name="Fornitore" localSheetId="1">#REF!</definedName>
    <definedName name="Fornitore" localSheetId="2">#REF!</definedName>
    <definedName name="Fornitore" localSheetId="3">#REF!</definedName>
    <definedName name="Fornitore" localSheetId="43">#REF!</definedName>
    <definedName name="Fornitore" localSheetId="44">#REF!</definedName>
    <definedName name="Fornitore" localSheetId="21">#REF!</definedName>
    <definedName name="Fornitore" localSheetId="22">#REF!</definedName>
    <definedName name="Fornitore" localSheetId="23">#REF!</definedName>
    <definedName name="Fornitore" localSheetId="45">#REF!</definedName>
    <definedName name="Fornitore" localSheetId="46">#REF!</definedName>
    <definedName name="Fornitore" localSheetId="4">#REF!</definedName>
    <definedName name="Fornitore" localSheetId="5">#REF!</definedName>
    <definedName name="Fornitore" localSheetId="6">#REF!</definedName>
    <definedName name="Fornitore" localSheetId="7">#REF!</definedName>
    <definedName name="Fornitore" localSheetId="26">#REF!</definedName>
    <definedName name="Fornitore" localSheetId="27">#REF!</definedName>
    <definedName name="Fornitore" localSheetId="11">#REF!</definedName>
    <definedName name="Fornitore" localSheetId="12">#REF!</definedName>
    <definedName name="Fornitore" localSheetId="13">#REF!</definedName>
    <definedName name="Fornitore" localSheetId="14">#REF!</definedName>
    <definedName name="Fornitore" localSheetId="15">#REF!</definedName>
    <definedName name="Fornitore">#REF!</definedName>
    <definedName name="Linea" localSheetId="24">#REF!</definedName>
    <definedName name="Linea" localSheetId="17">#REF!</definedName>
    <definedName name="Linea" localSheetId="35">#REF!</definedName>
    <definedName name="Linea" localSheetId="36">#REF!</definedName>
    <definedName name="Linea" localSheetId="18">#REF!</definedName>
    <definedName name="Linea" localSheetId="19">#REF!</definedName>
    <definedName name="Linea" localSheetId="37">#REF!</definedName>
    <definedName name="Linea" localSheetId="25">#REF!</definedName>
    <definedName name="Linea" localSheetId="28">#REF!</definedName>
    <definedName name="Linea" localSheetId="20">#REF!</definedName>
    <definedName name="Linea" localSheetId="29">#REF!</definedName>
    <definedName name="Linea" localSheetId="30">#REF!</definedName>
    <definedName name="Linea" localSheetId="31">#REF!</definedName>
    <definedName name="Linea" localSheetId="32">#REF!</definedName>
    <definedName name="Linea" localSheetId="33">#REF!</definedName>
    <definedName name="Linea" localSheetId="34">#REF!</definedName>
    <definedName name="Linea" localSheetId="38">#REF!</definedName>
    <definedName name="Linea" localSheetId="8">#REF!</definedName>
    <definedName name="Linea" localSheetId="9">#REF!</definedName>
    <definedName name="Linea" localSheetId="39">#REF!</definedName>
    <definedName name="Linea" localSheetId="16">#REF!</definedName>
    <definedName name="Linea" localSheetId="10">#REF!</definedName>
    <definedName name="Linea" localSheetId="40">#REF!</definedName>
    <definedName name="Linea" localSheetId="41">#REF!</definedName>
    <definedName name="Linea" localSheetId="42">#REF!</definedName>
    <definedName name="Linea" localSheetId="0">#REF!</definedName>
    <definedName name="Linea" localSheetId="1">#REF!</definedName>
    <definedName name="Linea" localSheetId="2">#REF!</definedName>
    <definedName name="Linea" localSheetId="3">#REF!</definedName>
    <definedName name="Linea" localSheetId="43">#REF!</definedName>
    <definedName name="Linea" localSheetId="44">#REF!</definedName>
    <definedName name="Linea" localSheetId="21">#REF!</definedName>
    <definedName name="Linea" localSheetId="22">#REF!</definedName>
    <definedName name="Linea" localSheetId="23">#REF!</definedName>
    <definedName name="Linea" localSheetId="45">#REF!</definedName>
    <definedName name="Linea" localSheetId="46">#REF!</definedName>
    <definedName name="Linea" localSheetId="4">#REF!</definedName>
    <definedName name="Linea" localSheetId="5">#REF!</definedName>
    <definedName name="Linea" localSheetId="6">#REF!</definedName>
    <definedName name="Linea" localSheetId="7">#REF!</definedName>
    <definedName name="Linea" localSheetId="26">#REF!</definedName>
    <definedName name="Linea" localSheetId="27">#REF!</definedName>
    <definedName name="Linea" localSheetId="11">#REF!</definedName>
    <definedName name="Linea" localSheetId="12">#REF!</definedName>
    <definedName name="Linea" localSheetId="13">#REF!</definedName>
    <definedName name="Linea" localSheetId="14">#REF!</definedName>
    <definedName name="Linea" localSheetId="15">#REF!</definedName>
    <definedName name="Linea">#REF!</definedName>
    <definedName name="lingua" localSheetId="24">#REF!</definedName>
    <definedName name="lingua" localSheetId="17">#REF!</definedName>
    <definedName name="lingua" localSheetId="35">#REF!</definedName>
    <definedName name="lingua" localSheetId="36">#REF!</definedName>
    <definedName name="lingua" localSheetId="18">#REF!</definedName>
    <definedName name="lingua" localSheetId="19">#REF!</definedName>
    <definedName name="lingua" localSheetId="37">#REF!</definedName>
    <definedName name="lingua" localSheetId="25">#REF!</definedName>
    <definedName name="lingua" localSheetId="28">#REF!</definedName>
    <definedName name="lingua" localSheetId="20">#REF!</definedName>
    <definedName name="lingua" localSheetId="29">#REF!</definedName>
    <definedName name="lingua" localSheetId="30">#REF!</definedName>
    <definedName name="lingua" localSheetId="31">#REF!</definedName>
    <definedName name="lingua" localSheetId="32">#REF!</definedName>
    <definedName name="lingua" localSheetId="33">#REF!</definedName>
    <definedName name="lingua" localSheetId="34">#REF!</definedName>
    <definedName name="lingua" localSheetId="38">#REF!</definedName>
    <definedName name="lingua" localSheetId="8">#REF!</definedName>
    <definedName name="lingua" localSheetId="9">#REF!</definedName>
    <definedName name="lingua" localSheetId="39">#REF!</definedName>
    <definedName name="lingua" localSheetId="16">#REF!</definedName>
    <definedName name="lingua" localSheetId="10">#REF!</definedName>
    <definedName name="lingua" localSheetId="40">#REF!</definedName>
    <definedName name="lingua" localSheetId="41">#REF!</definedName>
    <definedName name="lingua" localSheetId="42">#REF!</definedName>
    <definedName name="lingua" localSheetId="0">#REF!</definedName>
    <definedName name="lingua" localSheetId="1">#REF!</definedName>
    <definedName name="lingua" localSheetId="2">#REF!</definedName>
    <definedName name="lingua" localSheetId="3">#REF!</definedName>
    <definedName name="lingua" localSheetId="43">#REF!</definedName>
    <definedName name="lingua" localSheetId="44">#REF!</definedName>
    <definedName name="lingua" localSheetId="21">#REF!</definedName>
    <definedName name="lingua" localSheetId="22">#REF!</definedName>
    <definedName name="lingua" localSheetId="23">#REF!</definedName>
    <definedName name="lingua" localSheetId="45">#REF!</definedName>
    <definedName name="lingua" localSheetId="46">#REF!</definedName>
    <definedName name="lingua" localSheetId="4">#REF!</definedName>
    <definedName name="lingua" localSheetId="5">#REF!</definedName>
    <definedName name="lingua" localSheetId="6">#REF!</definedName>
    <definedName name="lingua" localSheetId="7">#REF!</definedName>
    <definedName name="lingua" localSheetId="26">#REF!</definedName>
    <definedName name="lingua" localSheetId="27">#REF!</definedName>
    <definedName name="lingua" localSheetId="11">#REF!</definedName>
    <definedName name="lingua" localSheetId="12">#REF!</definedName>
    <definedName name="lingua" localSheetId="13">#REF!</definedName>
    <definedName name="lingua" localSheetId="14">#REF!</definedName>
    <definedName name="lingua" localSheetId="15">#REF!</definedName>
    <definedName name="lingua">#REF!</definedName>
    <definedName name="_xlnm.Print_Area" localSheetId="24">'08WK'!$A$1:$V$32</definedName>
    <definedName name="_xlnm.Print_Area" localSheetId="17">'107KP'!$A$1:$V$31</definedName>
    <definedName name="_xlnm.Print_Area" localSheetId="35">'115KP'!$A$1:$V$33</definedName>
    <definedName name="_xlnm.Print_Area" localSheetId="36">'119KP'!$A$1:$V$33</definedName>
    <definedName name="_xlnm.Print_Area" localSheetId="18">'134KP'!$A$1:$V$31</definedName>
    <definedName name="_xlnm.Print_Area" localSheetId="19">'137KP'!$A$1:$V$34</definedName>
    <definedName name="_xlnm.Print_Area" localSheetId="37">'140KP'!$A$1:$V$32</definedName>
    <definedName name="_xlnm.Print_Area" localSheetId="25">'14WK'!$A$1:$V$32</definedName>
    <definedName name="_xlnm.Print_Area" localSheetId="28">'157WK'!$A$1:$V$32</definedName>
    <definedName name="_xlnm.Print_Area" localSheetId="20">'160KP'!$A$1:$V$32</definedName>
    <definedName name="_xlnm.Print_Area" localSheetId="29">'161WK'!$A$1:$V$33</definedName>
    <definedName name="_xlnm.Print_Area" localSheetId="30">'165KA'!$A$1:$V$33</definedName>
    <definedName name="_xlnm.Print_Area" localSheetId="31">'166NA'!$A$1:$V$32</definedName>
    <definedName name="_xlnm.Print_Area" localSheetId="32">'168BL'!$A$1:$V$31</definedName>
    <definedName name="_xlnm.Print_Area" localSheetId="33">'169WK'!$A$1:$V$33</definedName>
    <definedName name="_xlnm.Print_Area" localSheetId="34">'171WK'!$A$1:$V$31</definedName>
    <definedName name="_xlnm.Print_Area" localSheetId="38">'173KP'!$A$1:$V$32</definedName>
    <definedName name="_xlnm.Print_Area" localSheetId="8">'220DF'!$A$1:$V$33</definedName>
    <definedName name="_xlnm.Print_Area" localSheetId="9">'221DF'!$A$1:$V$33</definedName>
    <definedName name="_xlnm.Print_Area" localSheetId="39">'24VT'!$A$1:$V$34</definedName>
    <definedName name="_xlnm.Print_Area" localSheetId="16">'26QT'!$A$1:$V$33</definedName>
    <definedName name="_xlnm.Print_Area" localSheetId="10">'271R'!$A$1:$V$32</definedName>
    <definedName name="_xlnm.Print_Area" localSheetId="40">'29FT'!$A$1:$V$32</definedName>
    <definedName name="_xlnm.Print_Area" localSheetId="41">'31VT'!$A$1:$V$32</definedName>
    <definedName name="_xlnm.Print_Area" localSheetId="42">'32FT'!$A$1:$V$32</definedName>
    <definedName name="_xlnm.Print_Area" localSheetId="0">'361KP'!$A$1:$V$33</definedName>
    <definedName name="_xlnm.Print_Area" localSheetId="1">'364KP'!$A$1:$V$33</definedName>
    <definedName name="_xlnm.Print_Area" localSheetId="2">'368KP'!$A$1:$V$32</definedName>
    <definedName name="_xlnm.Print_Area" localSheetId="3">'378KP'!$A$1:$V$33</definedName>
    <definedName name="_xlnm.Print_Area" localSheetId="43">'39VT'!$A$1:$V$32</definedName>
    <definedName name="_xlnm.Print_Area" localSheetId="44">'50FT'!$A$1:$V$32</definedName>
    <definedName name="_xlnm.Print_Area" localSheetId="21">'600KP'!$A$1:$V$32</definedName>
    <definedName name="_xlnm.Print_Area" localSheetId="22">'604KP'!$A$1:$V$32</definedName>
    <definedName name="_xlnm.Print_Area" localSheetId="23">'606KP'!$A$1:$V$32</definedName>
    <definedName name="_xlnm.Print_Area" localSheetId="45">'60FT'!$A$1:$V$31</definedName>
    <definedName name="_xlnm.Print_Area" localSheetId="46">'61FT'!$A$1:$V$33</definedName>
    <definedName name="_xlnm.Print_Area" localSheetId="4">'682WK'!$A$1:$V$34</definedName>
    <definedName name="_xlnm.Print_Area" localSheetId="5">'683WK'!$A$1:$V$32</definedName>
    <definedName name="_xlnm.Print_Area" localSheetId="6">'685WK'!$A$1:$V$34</definedName>
    <definedName name="_xlnm.Print_Area" localSheetId="7">'688WK'!$A$1:$V$32</definedName>
    <definedName name="_xlnm.Print_Area" localSheetId="26">'75WK'!$A$1:$V$31</definedName>
    <definedName name="_xlnm.Print_Area" localSheetId="27">'81WK'!$A$1:$V$32</definedName>
    <definedName name="_xlnm.Print_Area" localSheetId="11">'KMP58'!$A$1:$V$33</definedName>
    <definedName name="_xlnm.Print_Area" localSheetId="12">'KMT41'!$A$1:$V$34</definedName>
    <definedName name="_xlnm.Print_Area" localSheetId="13">'KMT42'!$A$1:$V$33</definedName>
    <definedName name="_xlnm.Print_Area" localSheetId="14">'KWH88'!$A$1:$V$33</definedName>
    <definedName name="_xlnm.Print_Area" localSheetId="15">'KWT70'!$A$1:$V$33</definedName>
    <definedName name="_xlnm.Print_Titles" localSheetId="47">SUMMARY!$7:$8</definedName>
    <definedName name="prova" localSheetId="24">#REF!</definedName>
    <definedName name="prova" localSheetId="17">#REF!</definedName>
    <definedName name="prova" localSheetId="35">#REF!</definedName>
    <definedName name="prova" localSheetId="36">#REF!</definedName>
    <definedName name="prova" localSheetId="18">#REF!</definedName>
    <definedName name="prova" localSheetId="19">#REF!</definedName>
    <definedName name="prova" localSheetId="37">#REF!</definedName>
    <definedName name="prova" localSheetId="25">#REF!</definedName>
    <definedName name="prova" localSheetId="28">#REF!</definedName>
    <definedName name="prova" localSheetId="20">#REF!</definedName>
    <definedName name="prova" localSheetId="29">#REF!</definedName>
    <definedName name="prova" localSheetId="30">#REF!</definedName>
    <definedName name="prova" localSheetId="31">#REF!</definedName>
    <definedName name="prova" localSheetId="32">#REF!</definedName>
    <definedName name="prova" localSheetId="33">#REF!</definedName>
    <definedName name="prova" localSheetId="34">#REF!</definedName>
    <definedName name="prova" localSheetId="38">#REF!</definedName>
    <definedName name="prova" localSheetId="8">#REF!</definedName>
    <definedName name="prova" localSheetId="9">#REF!</definedName>
    <definedName name="prova" localSheetId="39">#REF!</definedName>
    <definedName name="prova" localSheetId="16">#REF!</definedName>
    <definedName name="prova" localSheetId="10">#REF!</definedName>
    <definedName name="prova" localSheetId="40">#REF!</definedName>
    <definedName name="prova" localSheetId="41">#REF!</definedName>
    <definedName name="prova" localSheetId="42">#REF!</definedName>
    <definedName name="prova" localSheetId="0">#REF!</definedName>
    <definedName name="prova" localSheetId="1">#REF!</definedName>
    <definedName name="prova" localSheetId="2">#REF!</definedName>
    <definedName name="prova" localSheetId="3">#REF!</definedName>
    <definedName name="prova" localSheetId="43">#REF!</definedName>
    <definedName name="prova" localSheetId="44">#REF!</definedName>
    <definedName name="prova" localSheetId="21">#REF!</definedName>
    <definedName name="prova" localSheetId="22">#REF!</definedName>
    <definedName name="prova" localSheetId="23">#REF!</definedName>
    <definedName name="prova" localSheetId="45">#REF!</definedName>
    <definedName name="prova" localSheetId="46">#REF!</definedName>
    <definedName name="prova" localSheetId="4">#REF!</definedName>
    <definedName name="prova" localSheetId="5">#REF!</definedName>
    <definedName name="prova" localSheetId="6">#REF!</definedName>
    <definedName name="prova" localSheetId="7">#REF!</definedName>
    <definedName name="prova" localSheetId="26">#REF!</definedName>
    <definedName name="prova" localSheetId="27">#REF!</definedName>
    <definedName name="prova" localSheetId="11">#REF!</definedName>
    <definedName name="prova" localSheetId="12">#REF!</definedName>
    <definedName name="prova" localSheetId="13">#REF!</definedName>
    <definedName name="prova" localSheetId="14">#REF!</definedName>
    <definedName name="prova" localSheetId="15">#REF!</definedName>
    <definedName name="prova">#REF!</definedName>
    <definedName name="rev." localSheetId="24">#REF!</definedName>
    <definedName name="rev." localSheetId="17">#REF!</definedName>
    <definedName name="rev." localSheetId="35">#REF!</definedName>
    <definedName name="rev." localSheetId="36">#REF!</definedName>
    <definedName name="rev." localSheetId="18">#REF!</definedName>
    <definedName name="rev." localSheetId="19">#REF!</definedName>
    <definedName name="rev." localSheetId="37">#REF!</definedName>
    <definedName name="rev." localSheetId="25">#REF!</definedName>
    <definedName name="rev." localSheetId="28">#REF!</definedName>
    <definedName name="rev." localSheetId="20">#REF!</definedName>
    <definedName name="rev." localSheetId="29">#REF!</definedName>
    <definedName name="rev." localSheetId="30">#REF!</definedName>
    <definedName name="rev." localSheetId="31">#REF!</definedName>
    <definedName name="rev." localSheetId="32">#REF!</definedName>
    <definedName name="rev." localSheetId="33">#REF!</definedName>
    <definedName name="rev." localSheetId="34">#REF!</definedName>
    <definedName name="rev." localSheetId="38">#REF!</definedName>
    <definedName name="rev." localSheetId="8">#REF!</definedName>
    <definedName name="rev." localSheetId="9">#REF!</definedName>
    <definedName name="rev." localSheetId="39">#REF!</definedName>
    <definedName name="rev." localSheetId="16">#REF!</definedName>
    <definedName name="rev." localSheetId="10">#REF!</definedName>
    <definedName name="rev." localSheetId="40">#REF!</definedName>
    <definedName name="rev." localSheetId="41">#REF!</definedName>
    <definedName name="rev." localSheetId="42">#REF!</definedName>
    <definedName name="rev." localSheetId="0">#REF!</definedName>
    <definedName name="rev." localSheetId="1">#REF!</definedName>
    <definedName name="rev." localSheetId="2">#REF!</definedName>
    <definedName name="rev." localSheetId="3">#REF!</definedName>
    <definedName name="rev." localSheetId="43">#REF!</definedName>
    <definedName name="rev." localSheetId="44">#REF!</definedName>
    <definedName name="rev." localSheetId="21">#REF!</definedName>
    <definedName name="rev." localSheetId="22">#REF!</definedName>
    <definedName name="rev." localSheetId="23">#REF!</definedName>
    <definedName name="rev." localSheetId="45">#REF!</definedName>
    <definedName name="rev." localSheetId="46">#REF!</definedName>
    <definedName name="rev." localSheetId="4">#REF!</definedName>
    <definedName name="rev." localSheetId="5">#REF!</definedName>
    <definedName name="rev." localSheetId="6">#REF!</definedName>
    <definedName name="rev." localSheetId="7">#REF!</definedName>
    <definedName name="rev." localSheetId="26">#REF!</definedName>
    <definedName name="rev." localSheetId="27">#REF!</definedName>
    <definedName name="rev." localSheetId="11">#REF!</definedName>
    <definedName name="rev." localSheetId="12">#REF!</definedName>
    <definedName name="rev." localSheetId="13">#REF!</definedName>
    <definedName name="rev." localSheetId="14">#REF!</definedName>
    <definedName name="rev." localSheetId="15">#REF!</definedName>
    <definedName name="rev.">#REF!</definedName>
    <definedName name="stagione" localSheetId="24">#REF!</definedName>
    <definedName name="stagione" localSheetId="17">#REF!</definedName>
    <definedName name="stagione" localSheetId="35">#REF!</definedName>
    <definedName name="stagione" localSheetId="36">#REF!</definedName>
    <definedName name="stagione" localSheetId="18">#REF!</definedName>
    <definedName name="stagione" localSheetId="19">#REF!</definedName>
    <definedName name="stagione" localSheetId="37">#REF!</definedName>
    <definedName name="stagione" localSheetId="25">#REF!</definedName>
    <definedName name="stagione" localSheetId="28">#REF!</definedName>
    <definedName name="stagione" localSheetId="20">#REF!</definedName>
    <definedName name="stagione" localSheetId="29">#REF!</definedName>
    <definedName name="stagione" localSheetId="30">#REF!</definedName>
    <definedName name="stagione" localSheetId="31">#REF!</definedName>
    <definedName name="stagione" localSheetId="32">#REF!</definedName>
    <definedName name="stagione" localSheetId="33">#REF!</definedName>
    <definedName name="stagione" localSheetId="34">#REF!</definedName>
    <definedName name="stagione" localSheetId="38">#REF!</definedName>
    <definedName name="stagione" localSheetId="8">#REF!</definedName>
    <definedName name="stagione" localSheetId="9">#REF!</definedName>
    <definedName name="stagione" localSheetId="39">#REF!</definedName>
    <definedName name="stagione" localSheetId="16">#REF!</definedName>
    <definedName name="stagione" localSheetId="10">#REF!</definedName>
    <definedName name="stagione" localSheetId="40">#REF!</definedName>
    <definedName name="stagione" localSheetId="41">#REF!</definedName>
    <definedName name="stagione" localSheetId="42">#REF!</definedName>
    <definedName name="stagione" localSheetId="0">#REF!</definedName>
    <definedName name="stagione" localSheetId="1">#REF!</definedName>
    <definedName name="stagione" localSheetId="2">#REF!</definedName>
    <definedName name="stagione" localSheetId="3">#REF!</definedName>
    <definedName name="stagione" localSheetId="43">#REF!</definedName>
    <definedName name="stagione" localSheetId="44">#REF!</definedName>
    <definedName name="stagione" localSheetId="21">#REF!</definedName>
    <definedName name="stagione" localSheetId="22">#REF!</definedName>
    <definedName name="stagione" localSheetId="23">#REF!</definedName>
    <definedName name="stagione" localSheetId="45">#REF!</definedName>
    <definedName name="stagione" localSheetId="46">#REF!</definedName>
    <definedName name="stagione" localSheetId="4">#REF!</definedName>
    <definedName name="stagione" localSheetId="5">#REF!</definedName>
    <definedName name="stagione" localSheetId="6">#REF!</definedName>
    <definedName name="stagione" localSheetId="7">#REF!</definedName>
    <definedName name="stagione" localSheetId="26">#REF!</definedName>
    <definedName name="stagione" localSheetId="27">#REF!</definedName>
    <definedName name="stagione" localSheetId="11">#REF!</definedName>
    <definedName name="stagione" localSheetId="12">#REF!</definedName>
    <definedName name="stagione" localSheetId="13">#REF!</definedName>
    <definedName name="stagione" localSheetId="14">#REF!</definedName>
    <definedName name="stagione" localSheetId="15">#REF!</definedName>
    <definedName name="stagione">#REF!</definedName>
    <definedName name="sviluppo" localSheetId="24">#REF!</definedName>
    <definedName name="sviluppo" localSheetId="17">#REF!</definedName>
    <definedName name="sviluppo" localSheetId="35">#REF!</definedName>
    <definedName name="sviluppo" localSheetId="36">#REF!</definedName>
    <definedName name="sviluppo" localSheetId="18">#REF!</definedName>
    <definedName name="sviluppo" localSheetId="19">#REF!</definedName>
    <definedName name="sviluppo" localSheetId="37">#REF!</definedName>
    <definedName name="sviluppo" localSheetId="25">#REF!</definedName>
    <definedName name="sviluppo" localSheetId="28">#REF!</definedName>
    <definedName name="sviluppo" localSheetId="20">#REF!</definedName>
    <definedName name="sviluppo" localSheetId="29">#REF!</definedName>
    <definedName name="sviluppo" localSheetId="30">#REF!</definedName>
    <definedName name="sviluppo" localSheetId="31">#REF!</definedName>
    <definedName name="sviluppo" localSheetId="32">#REF!</definedName>
    <definedName name="sviluppo" localSheetId="33">#REF!</definedName>
    <definedName name="sviluppo" localSheetId="34">#REF!</definedName>
    <definedName name="sviluppo" localSheetId="38">#REF!</definedName>
    <definedName name="sviluppo" localSheetId="8">#REF!</definedName>
    <definedName name="sviluppo" localSheetId="9">#REF!</definedName>
    <definedName name="sviluppo" localSheetId="39">#REF!</definedName>
    <definedName name="sviluppo" localSheetId="16">#REF!</definedName>
    <definedName name="sviluppo" localSheetId="10">#REF!</definedName>
    <definedName name="sviluppo" localSheetId="40">#REF!</definedName>
    <definedName name="sviluppo" localSheetId="41">#REF!</definedName>
    <definedName name="sviluppo" localSheetId="42">#REF!</definedName>
    <definedName name="sviluppo" localSheetId="0">#REF!</definedName>
    <definedName name="sviluppo" localSheetId="1">#REF!</definedName>
    <definedName name="sviluppo" localSheetId="2">#REF!</definedName>
    <definedName name="sviluppo" localSheetId="3">#REF!</definedName>
    <definedName name="sviluppo" localSheetId="43">#REF!</definedName>
    <definedName name="sviluppo" localSheetId="44">#REF!</definedName>
    <definedName name="sviluppo" localSheetId="21">#REF!</definedName>
    <definedName name="sviluppo" localSheetId="22">#REF!</definedName>
    <definedName name="sviluppo" localSheetId="23">#REF!</definedName>
    <definedName name="sviluppo" localSheetId="45">#REF!</definedName>
    <definedName name="sviluppo" localSheetId="46">#REF!</definedName>
    <definedName name="sviluppo" localSheetId="4">#REF!</definedName>
    <definedName name="sviluppo" localSheetId="5">#REF!</definedName>
    <definedName name="sviluppo" localSheetId="6">#REF!</definedName>
    <definedName name="sviluppo" localSheetId="7">#REF!</definedName>
    <definedName name="sviluppo" localSheetId="26">#REF!</definedName>
    <definedName name="sviluppo" localSheetId="27">#REF!</definedName>
    <definedName name="sviluppo" localSheetId="11">#REF!</definedName>
    <definedName name="sviluppo" localSheetId="12">#REF!</definedName>
    <definedName name="sviluppo" localSheetId="13">#REF!</definedName>
    <definedName name="sviluppo" localSheetId="14">#REF!</definedName>
    <definedName name="sviluppo" localSheetId="15">#REF!</definedName>
    <definedName name="sviluppo">#REF!</definedName>
    <definedName name="tg.Cmp." localSheetId="24">#REF!</definedName>
    <definedName name="tg.Cmp." localSheetId="17">#REF!</definedName>
    <definedName name="tg.Cmp." localSheetId="35">#REF!</definedName>
    <definedName name="tg.Cmp." localSheetId="36">#REF!</definedName>
    <definedName name="tg.Cmp." localSheetId="18">#REF!</definedName>
    <definedName name="tg.Cmp." localSheetId="19">#REF!</definedName>
    <definedName name="tg.Cmp." localSheetId="37">#REF!</definedName>
    <definedName name="tg.Cmp." localSheetId="25">#REF!</definedName>
    <definedName name="tg.Cmp." localSheetId="28">#REF!</definedName>
    <definedName name="tg.Cmp." localSheetId="20">#REF!</definedName>
    <definedName name="tg.Cmp." localSheetId="29">#REF!</definedName>
    <definedName name="tg.Cmp." localSheetId="30">#REF!</definedName>
    <definedName name="tg.Cmp." localSheetId="31">#REF!</definedName>
    <definedName name="tg.Cmp." localSheetId="32">#REF!</definedName>
    <definedName name="tg.Cmp." localSheetId="33">#REF!</definedName>
    <definedName name="tg.Cmp." localSheetId="34">#REF!</definedName>
    <definedName name="tg.Cmp." localSheetId="38">#REF!</definedName>
    <definedName name="tg.Cmp." localSheetId="8">#REF!</definedName>
    <definedName name="tg.Cmp." localSheetId="9">#REF!</definedName>
    <definedName name="tg.Cmp." localSheetId="39">#REF!</definedName>
    <definedName name="tg.Cmp." localSheetId="16">#REF!</definedName>
    <definedName name="tg.Cmp." localSheetId="10">#REF!</definedName>
    <definedName name="tg.Cmp." localSheetId="40">#REF!</definedName>
    <definedName name="tg.Cmp." localSheetId="41">#REF!</definedName>
    <definedName name="tg.Cmp." localSheetId="42">#REF!</definedName>
    <definedName name="tg.Cmp." localSheetId="0">#REF!</definedName>
    <definedName name="tg.Cmp." localSheetId="1">#REF!</definedName>
    <definedName name="tg.Cmp." localSheetId="2">#REF!</definedName>
    <definedName name="tg.Cmp." localSheetId="3">#REF!</definedName>
    <definedName name="tg.Cmp." localSheetId="43">#REF!</definedName>
    <definedName name="tg.Cmp." localSheetId="44">#REF!</definedName>
    <definedName name="tg.Cmp." localSheetId="21">#REF!</definedName>
    <definedName name="tg.Cmp." localSheetId="22">#REF!</definedName>
    <definedName name="tg.Cmp." localSheetId="23">#REF!</definedName>
    <definedName name="tg.Cmp." localSheetId="45">#REF!</definedName>
    <definedName name="tg.Cmp." localSheetId="46">#REF!</definedName>
    <definedName name="tg.Cmp." localSheetId="4">#REF!</definedName>
    <definedName name="tg.Cmp." localSheetId="5">#REF!</definedName>
    <definedName name="tg.Cmp." localSheetId="6">#REF!</definedName>
    <definedName name="tg.Cmp." localSheetId="7">#REF!</definedName>
    <definedName name="tg.Cmp." localSheetId="26">#REF!</definedName>
    <definedName name="tg.Cmp." localSheetId="27">#REF!</definedName>
    <definedName name="tg.Cmp." localSheetId="11">#REF!</definedName>
    <definedName name="tg.Cmp." localSheetId="12">#REF!</definedName>
    <definedName name="tg.Cmp." localSheetId="13">#REF!</definedName>
    <definedName name="tg.Cmp." localSheetId="14">#REF!</definedName>
    <definedName name="tg.Cmp." localSheetId="15">#REF!</definedName>
    <definedName name="tg.Cmp.">#REF!</definedName>
    <definedName name="tg.L" localSheetId="24">#REF!</definedName>
    <definedName name="tg.L" localSheetId="17">#REF!</definedName>
    <definedName name="tg.L" localSheetId="35">#REF!</definedName>
    <definedName name="tg.L" localSheetId="36">#REF!</definedName>
    <definedName name="tg.L" localSheetId="18">#REF!</definedName>
    <definedName name="tg.L" localSheetId="19">#REF!</definedName>
    <definedName name="tg.L" localSheetId="37">#REF!</definedName>
    <definedName name="tg.L" localSheetId="25">#REF!</definedName>
    <definedName name="tg.L" localSheetId="28">#REF!</definedName>
    <definedName name="tg.L" localSheetId="20">#REF!</definedName>
    <definedName name="tg.L" localSheetId="29">#REF!</definedName>
    <definedName name="tg.L" localSheetId="30">#REF!</definedName>
    <definedName name="tg.L" localSheetId="31">#REF!</definedName>
    <definedName name="tg.L" localSheetId="32">#REF!</definedName>
    <definedName name="tg.L" localSheetId="33">#REF!</definedName>
    <definedName name="tg.L" localSheetId="34">#REF!</definedName>
    <definedName name="tg.L" localSheetId="38">#REF!</definedName>
    <definedName name="tg.L" localSheetId="8">#REF!</definedName>
    <definedName name="tg.L" localSheetId="9">#REF!</definedName>
    <definedName name="tg.L" localSheetId="39">#REF!</definedName>
    <definedName name="tg.L" localSheetId="16">#REF!</definedName>
    <definedName name="tg.L" localSheetId="10">#REF!</definedName>
    <definedName name="tg.L" localSheetId="40">#REF!</definedName>
    <definedName name="tg.L" localSheetId="41">#REF!</definedName>
    <definedName name="tg.L" localSheetId="42">#REF!</definedName>
    <definedName name="tg.L" localSheetId="0">#REF!</definedName>
    <definedName name="tg.L" localSheetId="1">#REF!</definedName>
    <definedName name="tg.L" localSheetId="2">#REF!</definedName>
    <definedName name="tg.L" localSheetId="3">#REF!</definedName>
    <definedName name="tg.L" localSheetId="43">#REF!</definedName>
    <definedName name="tg.L" localSheetId="44">#REF!</definedName>
    <definedName name="tg.L" localSheetId="21">#REF!</definedName>
    <definedName name="tg.L" localSheetId="22">#REF!</definedName>
    <definedName name="tg.L" localSheetId="23">#REF!</definedName>
    <definedName name="tg.L" localSheetId="45">#REF!</definedName>
    <definedName name="tg.L" localSheetId="46">#REF!</definedName>
    <definedName name="tg.L" localSheetId="4">#REF!</definedName>
    <definedName name="tg.L" localSheetId="5">#REF!</definedName>
    <definedName name="tg.L" localSheetId="6">#REF!</definedName>
    <definedName name="tg.L" localSheetId="7">#REF!</definedName>
    <definedName name="tg.L" localSheetId="26">#REF!</definedName>
    <definedName name="tg.L" localSheetId="27">#REF!</definedName>
    <definedName name="tg.L" localSheetId="11">#REF!</definedName>
    <definedName name="tg.L" localSheetId="12">#REF!</definedName>
    <definedName name="tg.L" localSheetId="13">#REF!</definedName>
    <definedName name="tg.L" localSheetId="14">#REF!</definedName>
    <definedName name="tg.L" localSheetId="15">#REF!</definedName>
    <definedName name="tg.L">#REF!</definedName>
    <definedName name="tg.Xl" localSheetId="24">#REF!</definedName>
    <definedName name="tg.Xl" localSheetId="17">#REF!</definedName>
    <definedName name="tg.Xl" localSheetId="35">#REF!</definedName>
    <definedName name="tg.Xl" localSheetId="36">#REF!</definedName>
    <definedName name="tg.Xl" localSheetId="18">#REF!</definedName>
    <definedName name="tg.Xl" localSheetId="19">#REF!</definedName>
    <definedName name="tg.Xl" localSheetId="37">#REF!</definedName>
    <definedName name="tg.Xl" localSheetId="25">#REF!</definedName>
    <definedName name="tg.Xl" localSheetId="28">#REF!</definedName>
    <definedName name="tg.Xl" localSheetId="20">#REF!</definedName>
    <definedName name="tg.Xl" localSheetId="29">#REF!</definedName>
    <definedName name="tg.Xl" localSheetId="30">#REF!</definedName>
    <definedName name="tg.Xl" localSheetId="31">#REF!</definedName>
    <definedName name="tg.Xl" localSheetId="32">#REF!</definedName>
    <definedName name="tg.Xl" localSheetId="33">#REF!</definedName>
    <definedName name="tg.Xl" localSheetId="34">#REF!</definedName>
    <definedName name="tg.Xl" localSheetId="38">#REF!</definedName>
    <definedName name="tg.Xl" localSheetId="8">#REF!</definedName>
    <definedName name="tg.Xl" localSheetId="9">#REF!</definedName>
    <definedName name="tg.Xl" localSheetId="39">#REF!</definedName>
    <definedName name="tg.Xl" localSheetId="16">#REF!</definedName>
    <definedName name="tg.Xl" localSheetId="10">#REF!</definedName>
    <definedName name="tg.Xl" localSheetId="40">#REF!</definedName>
    <definedName name="tg.Xl" localSheetId="41">#REF!</definedName>
    <definedName name="tg.Xl" localSheetId="42">#REF!</definedName>
    <definedName name="tg.Xl" localSheetId="0">#REF!</definedName>
    <definedName name="tg.Xl" localSheetId="1">#REF!</definedName>
    <definedName name="tg.Xl" localSheetId="2">#REF!</definedName>
    <definedName name="tg.Xl" localSheetId="3">#REF!</definedName>
    <definedName name="tg.Xl" localSheetId="43">#REF!</definedName>
    <definedName name="tg.Xl" localSheetId="44">#REF!</definedName>
    <definedName name="tg.Xl" localSheetId="21">#REF!</definedName>
    <definedName name="tg.Xl" localSheetId="22">#REF!</definedName>
    <definedName name="tg.Xl" localSheetId="23">#REF!</definedName>
    <definedName name="tg.Xl" localSheetId="45">#REF!</definedName>
    <definedName name="tg.Xl" localSheetId="46">#REF!</definedName>
    <definedName name="tg.Xl" localSheetId="4">#REF!</definedName>
    <definedName name="tg.Xl" localSheetId="5">#REF!</definedName>
    <definedName name="tg.Xl" localSheetId="6">#REF!</definedName>
    <definedName name="tg.Xl" localSheetId="7">#REF!</definedName>
    <definedName name="tg.Xl" localSheetId="26">#REF!</definedName>
    <definedName name="tg.Xl" localSheetId="27">#REF!</definedName>
    <definedName name="tg.Xl" localSheetId="11">#REF!</definedName>
    <definedName name="tg.Xl" localSheetId="12">#REF!</definedName>
    <definedName name="tg.Xl" localSheetId="13">#REF!</definedName>
    <definedName name="tg.Xl" localSheetId="14">#REF!</definedName>
    <definedName name="tg.Xl" localSheetId="15">#REF!</definedName>
    <definedName name="tg.Xl">#REF!</definedName>
    <definedName name="tg.xs" localSheetId="24">#REF!</definedName>
    <definedName name="tg.xs" localSheetId="17">#REF!</definedName>
    <definedName name="tg.xs" localSheetId="35">#REF!</definedName>
    <definedName name="tg.xs" localSheetId="36">#REF!</definedName>
    <definedName name="tg.xs" localSheetId="18">#REF!</definedName>
    <definedName name="tg.xs" localSheetId="19">#REF!</definedName>
    <definedName name="tg.xs" localSheetId="37">#REF!</definedName>
    <definedName name="tg.xs" localSheetId="25">#REF!</definedName>
    <definedName name="tg.xs" localSheetId="28">#REF!</definedName>
    <definedName name="tg.xs" localSheetId="20">#REF!</definedName>
    <definedName name="tg.xs" localSheetId="29">#REF!</definedName>
    <definedName name="tg.xs" localSheetId="30">#REF!</definedName>
    <definedName name="tg.xs" localSheetId="31">#REF!</definedName>
    <definedName name="tg.xs" localSheetId="32">#REF!</definedName>
    <definedName name="tg.xs" localSheetId="33">#REF!</definedName>
    <definedName name="tg.xs" localSheetId="34">#REF!</definedName>
    <definedName name="tg.xs" localSheetId="38">#REF!</definedName>
    <definedName name="tg.xs" localSheetId="8">#REF!</definedName>
    <definedName name="tg.xs" localSheetId="9">#REF!</definedName>
    <definedName name="tg.xs" localSheetId="39">#REF!</definedName>
    <definedName name="tg.xs" localSheetId="16">#REF!</definedName>
    <definedName name="tg.xs" localSheetId="10">#REF!</definedName>
    <definedName name="tg.xs" localSheetId="40">#REF!</definedName>
    <definedName name="tg.xs" localSheetId="41">#REF!</definedName>
    <definedName name="tg.xs" localSheetId="42">#REF!</definedName>
    <definedName name="tg.xs" localSheetId="0">#REF!</definedName>
    <definedName name="tg.xs" localSheetId="1">#REF!</definedName>
    <definedName name="tg.xs" localSheetId="2">#REF!</definedName>
    <definedName name="tg.xs" localSheetId="3">#REF!</definedName>
    <definedName name="tg.xs" localSheetId="43">#REF!</definedName>
    <definedName name="tg.xs" localSheetId="44">#REF!</definedName>
    <definedName name="tg.xs" localSheetId="21">#REF!</definedName>
    <definedName name="tg.xs" localSheetId="22">#REF!</definedName>
    <definedName name="tg.xs" localSheetId="23">#REF!</definedName>
    <definedName name="tg.xs" localSheetId="45">#REF!</definedName>
    <definedName name="tg.xs" localSheetId="46">#REF!</definedName>
    <definedName name="tg.xs" localSheetId="4">#REF!</definedName>
    <definedName name="tg.xs" localSheetId="5">#REF!</definedName>
    <definedName name="tg.xs" localSheetId="6">#REF!</definedName>
    <definedName name="tg.xs" localSheetId="7">#REF!</definedName>
    <definedName name="tg.xs" localSheetId="26">#REF!</definedName>
    <definedName name="tg.xs" localSheetId="27">#REF!</definedName>
    <definedName name="tg.xs" localSheetId="11">#REF!</definedName>
    <definedName name="tg.xs" localSheetId="12">#REF!</definedName>
    <definedName name="tg.xs" localSheetId="13">#REF!</definedName>
    <definedName name="tg.xs" localSheetId="14">#REF!</definedName>
    <definedName name="tg.xs" localSheetId="15">#REF!</definedName>
    <definedName name="tg.xs">#REF!</definedName>
    <definedName name="tg_base" localSheetId="24">#REF!</definedName>
    <definedName name="tg_base" localSheetId="17">#REF!</definedName>
    <definedName name="tg_base" localSheetId="35">#REF!</definedName>
    <definedName name="tg_base" localSheetId="36">#REF!</definedName>
    <definedName name="tg_base" localSheetId="18">#REF!</definedName>
    <definedName name="tg_base" localSheetId="19">#REF!</definedName>
    <definedName name="tg_base" localSheetId="37">#REF!</definedName>
    <definedName name="tg_base" localSheetId="25">#REF!</definedName>
    <definedName name="tg_base" localSheetId="28">#REF!</definedName>
    <definedName name="tg_base" localSheetId="20">#REF!</definedName>
    <definedName name="tg_base" localSheetId="29">#REF!</definedName>
    <definedName name="tg_base" localSheetId="30">#REF!</definedName>
    <definedName name="tg_base" localSheetId="31">#REF!</definedName>
    <definedName name="tg_base" localSheetId="32">#REF!</definedName>
    <definedName name="tg_base" localSheetId="33">#REF!</definedName>
    <definedName name="tg_base" localSheetId="34">#REF!</definedName>
    <definedName name="tg_base" localSheetId="38">#REF!</definedName>
    <definedName name="tg_base" localSheetId="8">#REF!</definedName>
    <definedName name="tg_base" localSheetId="9">#REF!</definedName>
    <definedName name="tg_base" localSheetId="39">#REF!</definedName>
    <definedName name="tg_base" localSheetId="16">#REF!</definedName>
    <definedName name="tg_base" localSheetId="10">#REF!</definedName>
    <definedName name="tg_base" localSheetId="40">#REF!</definedName>
    <definedName name="tg_base" localSheetId="41">#REF!</definedName>
    <definedName name="tg_base" localSheetId="42">#REF!</definedName>
    <definedName name="tg_base" localSheetId="0">#REF!</definedName>
    <definedName name="tg_base" localSheetId="1">#REF!</definedName>
    <definedName name="tg_base" localSheetId="2">#REF!</definedName>
    <definedName name="tg_base" localSheetId="3">#REF!</definedName>
    <definedName name="tg_base" localSheetId="43">#REF!</definedName>
    <definedName name="tg_base" localSheetId="44">#REF!</definedName>
    <definedName name="tg_base" localSheetId="21">#REF!</definedName>
    <definedName name="tg_base" localSheetId="22">#REF!</definedName>
    <definedName name="tg_base" localSheetId="23">#REF!</definedName>
    <definedName name="tg_base" localSheetId="45">#REF!</definedName>
    <definedName name="tg_base" localSheetId="46">#REF!</definedName>
    <definedName name="tg_base" localSheetId="4">#REF!</definedName>
    <definedName name="tg_base" localSheetId="5">#REF!</definedName>
    <definedName name="tg_base" localSheetId="6">#REF!</definedName>
    <definedName name="tg_base" localSheetId="7">#REF!</definedName>
    <definedName name="tg_base" localSheetId="26">#REF!</definedName>
    <definedName name="tg_base" localSheetId="27">#REF!</definedName>
    <definedName name="tg_base" localSheetId="11">#REF!</definedName>
    <definedName name="tg_base" localSheetId="12">#REF!</definedName>
    <definedName name="tg_base" localSheetId="13">#REF!</definedName>
    <definedName name="tg_base" localSheetId="14">#REF!</definedName>
    <definedName name="tg_base" localSheetId="15">#REF!</definedName>
    <definedName name="tg_base">#REF!</definedName>
    <definedName name="xxxl" localSheetId="24">#REF!</definedName>
    <definedName name="xxxl" localSheetId="17">#REF!</definedName>
    <definedName name="xxxl" localSheetId="35">#REF!</definedName>
    <definedName name="xxxl" localSheetId="36">#REF!</definedName>
    <definedName name="xxxl" localSheetId="18">#REF!</definedName>
    <definedName name="xxxl" localSheetId="19">#REF!</definedName>
    <definedName name="xxxl" localSheetId="37">#REF!</definedName>
    <definedName name="xxxl" localSheetId="25">#REF!</definedName>
    <definedName name="xxxl" localSheetId="28">#REF!</definedName>
    <definedName name="xxxl" localSheetId="20">#REF!</definedName>
    <definedName name="xxxl" localSheetId="29">#REF!</definedName>
    <definedName name="xxxl" localSheetId="30">#REF!</definedName>
    <definedName name="xxxl" localSheetId="31">#REF!</definedName>
    <definedName name="xxxl" localSheetId="32">#REF!</definedName>
    <definedName name="xxxl" localSheetId="33">#REF!</definedName>
    <definedName name="xxxl" localSheetId="34">#REF!</definedName>
    <definedName name="xxxl" localSheetId="38">#REF!</definedName>
    <definedName name="xxxl" localSheetId="8">#REF!</definedName>
    <definedName name="xxxl" localSheetId="9">#REF!</definedName>
    <definedName name="xxxl" localSheetId="39">#REF!</definedName>
    <definedName name="xxxl" localSheetId="16">#REF!</definedName>
    <definedName name="xxxl" localSheetId="10">#REF!</definedName>
    <definedName name="xxxl" localSheetId="40">#REF!</definedName>
    <definedName name="xxxl" localSheetId="41">#REF!</definedName>
    <definedName name="xxxl" localSheetId="42">#REF!</definedName>
    <definedName name="xxxl" localSheetId="0">#REF!</definedName>
    <definedName name="xxxl" localSheetId="1">#REF!</definedName>
    <definedName name="xxxl" localSheetId="2">#REF!</definedName>
    <definedName name="xxxl" localSheetId="3">#REF!</definedName>
    <definedName name="xxxl" localSheetId="43">#REF!</definedName>
    <definedName name="xxxl" localSheetId="44">#REF!</definedName>
    <definedName name="xxxl" localSheetId="21">#REF!</definedName>
    <definedName name="xxxl" localSheetId="22">#REF!</definedName>
    <definedName name="xxxl" localSheetId="23">#REF!</definedName>
    <definedName name="xxxl" localSheetId="45">#REF!</definedName>
    <definedName name="xxxl" localSheetId="46">#REF!</definedName>
    <definedName name="xxxl" localSheetId="4">#REF!</definedName>
    <definedName name="xxxl" localSheetId="5">#REF!</definedName>
    <definedName name="xxxl" localSheetId="6">#REF!</definedName>
    <definedName name="xxxl" localSheetId="7">#REF!</definedName>
    <definedName name="xxxl" localSheetId="26">#REF!</definedName>
    <definedName name="xxxl" localSheetId="27">#REF!</definedName>
    <definedName name="xxxl" localSheetId="11">#REF!</definedName>
    <definedName name="xxxl" localSheetId="12">#REF!</definedName>
    <definedName name="xxxl" localSheetId="13">#REF!</definedName>
    <definedName name="xxxl" localSheetId="14">#REF!</definedName>
    <definedName name="xxxl" localSheetId="15">#REF!</definedName>
    <definedName name="xxx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6" i="203" l="1"/>
  <c r="J26" i="203"/>
  <c r="I26" i="203"/>
  <c r="H26" i="203"/>
  <c r="G26" i="203"/>
  <c r="J26" i="206"/>
  <c r="T20" i="195"/>
  <c r="T21" i="195"/>
  <c r="T22" i="195"/>
  <c r="T23" i="195"/>
  <c r="T24" i="195"/>
  <c r="T25" i="195"/>
  <c r="T26" i="195"/>
  <c r="T19" i="195"/>
  <c r="L27" i="195"/>
  <c r="K27" i="195"/>
  <c r="J27" i="195"/>
  <c r="I27" i="195"/>
  <c r="H27" i="195"/>
  <c r="G27" i="195"/>
  <c r="K25" i="205"/>
  <c r="J25" i="205"/>
  <c r="I25" i="205"/>
  <c r="G25" i="205"/>
  <c r="K26" i="223" l="1"/>
  <c r="J26" i="223"/>
  <c r="I26" i="223"/>
  <c r="H26" i="223"/>
  <c r="G26" i="223"/>
  <c r="K26" i="222"/>
  <c r="J26" i="222"/>
  <c r="I26" i="222"/>
  <c r="H26" i="222"/>
  <c r="G26" i="222"/>
  <c r="K25" i="224"/>
  <c r="J25" i="224"/>
  <c r="I25" i="224"/>
  <c r="H25" i="224"/>
  <c r="G25" i="224"/>
  <c r="L27" i="191"/>
  <c r="K27" i="191"/>
  <c r="J27" i="191"/>
  <c r="I27" i="191"/>
  <c r="H27" i="191"/>
  <c r="G27" i="191"/>
  <c r="M32" i="209" l="1"/>
  <c r="K27" i="209"/>
  <c r="J27" i="209"/>
  <c r="I27" i="209"/>
  <c r="H27" i="209"/>
  <c r="G27" i="209"/>
  <c r="K27" i="214"/>
  <c r="J27" i="214"/>
  <c r="I27" i="214"/>
  <c r="H27" i="214"/>
  <c r="G27" i="214"/>
  <c r="L28" i="184"/>
  <c r="K28" i="184"/>
  <c r="J28" i="184"/>
  <c r="I28" i="184"/>
  <c r="H28" i="184"/>
  <c r="G28" i="184"/>
  <c r="K26" i="216"/>
  <c r="J26" i="216"/>
  <c r="I26" i="216"/>
  <c r="H26" i="216"/>
  <c r="G26" i="216"/>
  <c r="L28" i="192"/>
  <c r="K28" i="192"/>
  <c r="J28" i="192"/>
  <c r="I28" i="192"/>
  <c r="H28" i="192"/>
  <c r="G28" i="192"/>
  <c r="K26" i="210"/>
  <c r="J26" i="210"/>
  <c r="I26" i="210"/>
  <c r="H26" i="210"/>
  <c r="G26" i="210"/>
  <c r="K28" i="218"/>
  <c r="J28" i="218"/>
  <c r="I28" i="218"/>
  <c r="H28" i="218"/>
  <c r="G28" i="218"/>
  <c r="L28" i="186"/>
  <c r="K28" i="186"/>
  <c r="J28" i="186"/>
  <c r="H28" i="186"/>
  <c r="G28" i="186"/>
  <c r="C27" i="218"/>
  <c r="A27" i="218"/>
  <c r="M27" i="218"/>
  <c r="O27" i="218" s="1"/>
  <c r="T27" i="218"/>
  <c r="V27" i="218" s="1"/>
  <c r="U27" i="218"/>
  <c r="L34" i="218"/>
  <c r="K27" i="225"/>
  <c r="J27" i="225"/>
  <c r="I27" i="225"/>
  <c r="H27" i="225"/>
  <c r="G27" i="225"/>
  <c r="K26" i="187"/>
  <c r="J26" i="187"/>
  <c r="I26" i="187"/>
  <c r="H26" i="187"/>
  <c r="G26" i="187"/>
  <c r="K26" i="207"/>
  <c r="J26" i="207"/>
  <c r="H26" i="207"/>
  <c r="G26" i="207"/>
  <c r="K26" i="219" l="1"/>
  <c r="J26" i="219"/>
  <c r="H26" i="219"/>
  <c r="G26" i="219"/>
  <c r="K26" i="217"/>
  <c r="J26" i="217"/>
  <c r="I26" i="217"/>
  <c r="H26" i="217"/>
  <c r="G26" i="217"/>
  <c r="I25" i="213"/>
  <c r="G25" i="213"/>
  <c r="K27" i="188"/>
  <c r="J27" i="188"/>
  <c r="I27" i="188"/>
  <c r="H27" i="188"/>
  <c r="G27" i="188"/>
  <c r="L26" i="185"/>
  <c r="K26" i="185"/>
  <c r="J26" i="185"/>
  <c r="I26" i="185"/>
  <c r="H26" i="185"/>
  <c r="K26" i="204" l="1"/>
  <c r="J26" i="204"/>
  <c r="I26" i="204"/>
  <c r="K25" i="196"/>
  <c r="J25" i="196"/>
  <c r="I25" i="196"/>
  <c r="H25" i="196"/>
  <c r="G25" i="196"/>
  <c r="K26" i="220"/>
  <c r="J26" i="220"/>
  <c r="I26" i="220"/>
  <c r="H26" i="220"/>
  <c r="G26" i="220"/>
  <c r="K27" i="215"/>
  <c r="J27" i="215"/>
  <c r="I27" i="215"/>
  <c r="H27" i="215"/>
  <c r="G27" i="215"/>
  <c r="K26" i="182"/>
  <c r="J26" i="182"/>
  <c r="I26" i="182"/>
  <c r="H26" i="182"/>
  <c r="G26" i="182"/>
  <c r="K26" i="221"/>
  <c r="J26" i="221"/>
  <c r="I26" i="221"/>
  <c r="H26" i="221"/>
  <c r="G26" i="221"/>
  <c r="K25" i="197"/>
  <c r="J25" i="197"/>
  <c r="I25" i="197"/>
  <c r="H25" i="197"/>
  <c r="G25" i="197"/>
  <c r="T25" i="216" l="1"/>
  <c r="T24" i="216"/>
  <c r="T23" i="216"/>
  <c r="T22" i="216"/>
  <c r="T21" i="216"/>
  <c r="T20" i="216"/>
  <c r="T19" i="216"/>
  <c r="T25" i="217"/>
  <c r="T24" i="217"/>
  <c r="T23" i="217"/>
  <c r="T22" i="217"/>
  <c r="T21" i="217"/>
  <c r="T20" i="217"/>
  <c r="T19" i="217"/>
  <c r="T26" i="218"/>
  <c r="T25" i="218"/>
  <c r="T24" i="218"/>
  <c r="T23" i="218"/>
  <c r="T22" i="218"/>
  <c r="T21" i="218"/>
  <c r="T20" i="218"/>
  <c r="T19" i="218"/>
  <c r="T25" i="219"/>
  <c r="T24" i="219"/>
  <c r="T23" i="219"/>
  <c r="T22" i="219"/>
  <c r="T21" i="219"/>
  <c r="T20" i="219"/>
  <c r="T19" i="219"/>
  <c r="T25" i="220"/>
  <c r="T24" i="220"/>
  <c r="T23" i="220"/>
  <c r="T22" i="220"/>
  <c r="T21" i="220"/>
  <c r="T20" i="220"/>
  <c r="T19" i="220"/>
  <c r="T25" i="221"/>
  <c r="T24" i="221"/>
  <c r="T23" i="221"/>
  <c r="T22" i="221"/>
  <c r="T21" i="221"/>
  <c r="T20" i="221"/>
  <c r="T19" i="221"/>
  <c r="T25" i="222"/>
  <c r="T24" i="222"/>
  <c r="T23" i="222"/>
  <c r="T22" i="222"/>
  <c r="T21" i="222"/>
  <c r="T20" i="222"/>
  <c r="T19" i="222"/>
  <c r="T25" i="223"/>
  <c r="T24" i="223"/>
  <c r="T23" i="223"/>
  <c r="T22" i="223"/>
  <c r="T21" i="223"/>
  <c r="T20" i="223"/>
  <c r="T19" i="223"/>
  <c r="T24" i="224"/>
  <c r="T23" i="224"/>
  <c r="T22" i="224"/>
  <c r="T21" i="224"/>
  <c r="T20" i="224"/>
  <c r="T19" i="224"/>
  <c r="T26" i="225"/>
  <c r="T25" i="225"/>
  <c r="T24" i="225"/>
  <c r="T23" i="225"/>
  <c r="T22" i="225"/>
  <c r="T21" i="225"/>
  <c r="T20" i="225"/>
  <c r="T19" i="225"/>
  <c r="T26" i="215"/>
  <c r="T25" i="215"/>
  <c r="T24" i="215"/>
  <c r="T23" i="215"/>
  <c r="T22" i="215"/>
  <c r="T21" i="215"/>
  <c r="T20" i="215"/>
  <c r="T19" i="215"/>
  <c r="T20" i="214"/>
  <c r="T21" i="214"/>
  <c r="T22" i="214"/>
  <c r="T23" i="214"/>
  <c r="T24" i="214"/>
  <c r="T25" i="214"/>
  <c r="T26" i="214"/>
  <c r="T19" i="214"/>
  <c r="T20" i="193"/>
  <c r="T21" i="193"/>
  <c r="T22" i="193"/>
  <c r="T23" i="193"/>
  <c r="T24" i="193"/>
  <c r="T25" i="193"/>
  <c r="T26" i="193"/>
  <c r="T20" i="194"/>
  <c r="T21" i="194"/>
  <c r="T22" i="194"/>
  <c r="T23" i="194"/>
  <c r="T24" i="194"/>
  <c r="T25" i="194"/>
  <c r="T26" i="194"/>
  <c r="T20" i="226"/>
  <c r="T21" i="226"/>
  <c r="T22" i="226"/>
  <c r="T23" i="226"/>
  <c r="T24" i="226"/>
  <c r="T25" i="226"/>
  <c r="T26" i="226"/>
  <c r="T20" i="196"/>
  <c r="T21" i="196"/>
  <c r="T22" i="196"/>
  <c r="T23" i="196"/>
  <c r="T24" i="196"/>
  <c r="T20" i="197"/>
  <c r="T21" i="197"/>
  <c r="T22" i="197"/>
  <c r="T23" i="197"/>
  <c r="T24" i="197"/>
  <c r="T20" i="198"/>
  <c r="T21" i="198"/>
  <c r="T22" i="198"/>
  <c r="T23" i="198"/>
  <c r="T24" i="198"/>
  <c r="T25" i="198"/>
  <c r="T26" i="198"/>
  <c r="T27" i="198"/>
  <c r="T20" i="199"/>
  <c r="T21" i="199"/>
  <c r="T22" i="199"/>
  <c r="T23" i="199"/>
  <c r="T24" i="199"/>
  <c r="T25" i="199"/>
  <c r="T20" i="200"/>
  <c r="T21" i="200"/>
  <c r="T22" i="200"/>
  <c r="T23" i="200"/>
  <c r="T24" i="200"/>
  <c r="T25" i="200"/>
  <c r="T20" i="201"/>
  <c r="T21" i="201"/>
  <c r="T22" i="201"/>
  <c r="T23" i="201"/>
  <c r="T24" i="201"/>
  <c r="T25" i="201"/>
  <c r="T20" i="202"/>
  <c r="T21" i="202"/>
  <c r="T22" i="202"/>
  <c r="T23" i="202"/>
  <c r="T24" i="202"/>
  <c r="T25" i="202"/>
  <c r="T24" i="203"/>
  <c r="T25" i="203"/>
  <c r="T20" i="204"/>
  <c r="T21" i="204"/>
  <c r="T22" i="204"/>
  <c r="T23" i="204"/>
  <c r="T24" i="204"/>
  <c r="T25" i="204"/>
  <c r="T20" i="205"/>
  <c r="T21" i="205"/>
  <c r="T22" i="205"/>
  <c r="T23" i="205"/>
  <c r="T24" i="205"/>
  <c r="T20" i="206"/>
  <c r="T21" i="206"/>
  <c r="T22" i="206"/>
  <c r="T23" i="206"/>
  <c r="T24" i="206"/>
  <c r="T25" i="206"/>
  <c r="T20" i="207"/>
  <c r="T21" i="207"/>
  <c r="T22" i="207"/>
  <c r="T23" i="207"/>
  <c r="T24" i="207"/>
  <c r="T25" i="207"/>
  <c r="T20" i="208"/>
  <c r="T21" i="208"/>
  <c r="T22" i="208"/>
  <c r="T23" i="208"/>
  <c r="T24" i="208"/>
  <c r="T25" i="208"/>
  <c r="T26" i="208"/>
  <c r="T20" i="209"/>
  <c r="T21" i="209"/>
  <c r="T22" i="209"/>
  <c r="T23" i="209"/>
  <c r="T24" i="209"/>
  <c r="T25" i="209"/>
  <c r="T26" i="209"/>
  <c r="T20" i="210"/>
  <c r="T21" i="210"/>
  <c r="T22" i="210"/>
  <c r="T23" i="210"/>
  <c r="T24" i="210"/>
  <c r="T25" i="210"/>
  <c r="T20" i="211"/>
  <c r="T21" i="211"/>
  <c r="T22" i="211"/>
  <c r="T23" i="211"/>
  <c r="T24" i="211"/>
  <c r="T20" i="212"/>
  <c r="T21" i="212"/>
  <c r="T22" i="212"/>
  <c r="T23" i="212"/>
  <c r="T24" i="212"/>
  <c r="T25" i="212"/>
  <c r="T26" i="212"/>
  <c r="T20" i="213"/>
  <c r="T21" i="213"/>
  <c r="T22" i="213"/>
  <c r="T23" i="213"/>
  <c r="T24" i="213"/>
  <c r="T20" i="192"/>
  <c r="T21" i="192"/>
  <c r="T22" i="192"/>
  <c r="T23" i="192"/>
  <c r="T24" i="192"/>
  <c r="T25" i="192"/>
  <c r="T26" i="192"/>
  <c r="T27" i="192"/>
  <c r="T19" i="193"/>
  <c r="T19" i="194"/>
  <c r="T19" i="226"/>
  <c r="T19" i="196"/>
  <c r="T19" i="197"/>
  <c r="T19" i="198"/>
  <c r="T19" i="199"/>
  <c r="T19" i="200"/>
  <c r="T19" i="201"/>
  <c r="T19" i="202"/>
  <c r="T19" i="204"/>
  <c r="T19" i="205"/>
  <c r="T19" i="206"/>
  <c r="T19" i="207"/>
  <c r="T19" i="208"/>
  <c r="T19" i="209"/>
  <c r="T19" i="210"/>
  <c r="T19" i="211"/>
  <c r="T19" i="212"/>
  <c r="T19" i="213"/>
  <c r="T19" i="192"/>
  <c r="T20" i="191"/>
  <c r="T21" i="191"/>
  <c r="T22" i="191"/>
  <c r="T23" i="191"/>
  <c r="T24" i="191"/>
  <c r="T25" i="191"/>
  <c r="T26" i="191"/>
  <c r="T19" i="191"/>
  <c r="T25" i="190"/>
  <c r="T24" i="190"/>
  <c r="T23" i="190"/>
  <c r="T22" i="190"/>
  <c r="T21" i="190"/>
  <c r="T20" i="190"/>
  <c r="T19" i="190"/>
  <c r="T26" i="189"/>
  <c r="T25" i="189"/>
  <c r="T24" i="189"/>
  <c r="T23" i="189"/>
  <c r="T22" i="189"/>
  <c r="T21" i="189"/>
  <c r="T20" i="189"/>
  <c r="T19" i="189"/>
  <c r="T20" i="188"/>
  <c r="T21" i="188"/>
  <c r="T22" i="188"/>
  <c r="T23" i="188"/>
  <c r="T24" i="188"/>
  <c r="T25" i="188"/>
  <c r="T26" i="188"/>
  <c r="T19" i="188"/>
  <c r="T26" i="183"/>
  <c r="T25" i="183"/>
  <c r="T24" i="183"/>
  <c r="T23" i="183"/>
  <c r="T22" i="183"/>
  <c r="T21" i="183"/>
  <c r="T20" i="183"/>
  <c r="T19" i="183"/>
  <c r="T27" i="184"/>
  <c r="T26" i="184"/>
  <c r="T25" i="184"/>
  <c r="T24" i="184"/>
  <c r="T23" i="184"/>
  <c r="T22" i="184"/>
  <c r="T25" i="185"/>
  <c r="T24" i="185"/>
  <c r="T23" i="185"/>
  <c r="T22" i="185"/>
  <c r="T21" i="185"/>
  <c r="T20" i="185"/>
  <c r="T19" i="185"/>
  <c r="T27" i="186"/>
  <c r="T26" i="186"/>
  <c r="T25" i="186"/>
  <c r="T24" i="186"/>
  <c r="T23" i="186"/>
  <c r="T22" i="186"/>
  <c r="T21" i="186"/>
  <c r="T20" i="186"/>
  <c r="T19" i="186"/>
  <c r="T25" i="187"/>
  <c r="T24" i="187"/>
  <c r="T23" i="187"/>
  <c r="T22" i="187"/>
  <c r="T21" i="187"/>
  <c r="T20" i="187"/>
  <c r="T19" i="187"/>
  <c r="T25" i="182"/>
  <c r="T24" i="182"/>
  <c r="T23" i="182"/>
  <c r="T22" i="182"/>
  <c r="T21" i="182"/>
  <c r="T20" i="182"/>
  <c r="T19" i="182"/>
  <c r="T26" i="181"/>
  <c r="T25" i="181"/>
  <c r="T24" i="181"/>
  <c r="T23" i="181"/>
  <c r="T22" i="181"/>
  <c r="T21" i="181"/>
  <c r="T20" i="181"/>
  <c r="T19" i="181"/>
  <c r="T20" i="180"/>
  <c r="T21" i="180"/>
  <c r="T22" i="180"/>
  <c r="T23" i="180"/>
  <c r="T24" i="180"/>
  <c r="T25" i="180"/>
  <c r="T26" i="180"/>
  <c r="T19" i="180"/>
  <c r="M32" i="226" l="1"/>
  <c r="D32" i="226"/>
  <c r="L31" i="226"/>
  <c r="K31" i="226"/>
  <c r="J31" i="226"/>
  <c r="I31" i="226"/>
  <c r="H31" i="226"/>
  <c r="G31" i="226"/>
  <c r="D31" i="226"/>
  <c r="N27" i="226"/>
  <c r="V26" i="226"/>
  <c r="U26" i="226"/>
  <c r="M26" i="226"/>
  <c r="O26" i="226" s="1"/>
  <c r="V25" i="226"/>
  <c r="U25" i="226"/>
  <c r="M25" i="226"/>
  <c r="O25" i="226" s="1"/>
  <c r="V24" i="226"/>
  <c r="U24" i="226"/>
  <c r="M24" i="226"/>
  <c r="O24" i="226" s="1"/>
  <c r="V23" i="226"/>
  <c r="U23" i="226"/>
  <c r="M23" i="226"/>
  <c r="O23" i="226" s="1"/>
  <c r="K27" i="226" s="1"/>
  <c r="V22" i="226"/>
  <c r="U22" i="226"/>
  <c r="M22" i="226"/>
  <c r="O22" i="226" s="1"/>
  <c r="J27" i="226" s="1"/>
  <c r="V21" i="226"/>
  <c r="U21" i="226"/>
  <c r="M21" i="226"/>
  <c r="O21" i="226" s="1"/>
  <c r="V20" i="226"/>
  <c r="U20" i="226"/>
  <c r="M20" i="226"/>
  <c r="O20" i="226" s="1"/>
  <c r="V19" i="226"/>
  <c r="U19" i="226"/>
  <c r="O19" i="226"/>
  <c r="G27" i="226" s="1"/>
  <c r="M19" i="226"/>
  <c r="C19" i="226"/>
  <c r="A20" i="226" s="1"/>
  <c r="I27" i="226" l="1"/>
  <c r="I33" i="226" s="1"/>
  <c r="H27" i="226"/>
  <c r="H33" i="226" s="1"/>
  <c r="N29" i="226"/>
  <c r="F14" i="226" s="1"/>
  <c r="F25" i="31"/>
  <c r="J33" i="226"/>
  <c r="K33" i="226"/>
  <c r="P27" i="226"/>
  <c r="P29" i="226" s="1"/>
  <c r="O27" i="226"/>
  <c r="O29" i="226" s="1"/>
  <c r="U27" i="226"/>
  <c r="U29" i="226" s="1"/>
  <c r="V27" i="226"/>
  <c r="V29" i="226" s="1"/>
  <c r="C20" i="226"/>
  <c r="A21" i="226" s="1"/>
  <c r="G33" i="226"/>
  <c r="M32" i="225"/>
  <c r="D32" i="225"/>
  <c r="L31" i="225"/>
  <c r="K31" i="225"/>
  <c r="J31" i="225"/>
  <c r="I31" i="225"/>
  <c r="H31" i="225"/>
  <c r="G31" i="225"/>
  <c r="D31" i="225"/>
  <c r="N27" i="225"/>
  <c r="V26" i="225"/>
  <c r="U26" i="225"/>
  <c r="M26" i="225"/>
  <c r="O26" i="225" s="1"/>
  <c r="V25" i="225"/>
  <c r="U25" i="225"/>
  <c r="M25" i="225"/>
  <c r="O25" i="225" s="1"/>
  <c r="V24" i="225"/>
  <c r="U24" i="225"/>
  <c r="M24" i="225"/>
  <c r="O24" i="225" s="1"/>
  <c r="L33" i="225" s="1"/>
  <c r="V23" i="225"/>
  <c r="U23" i="225"/>
  <c r="M23" i="225"/>
  <c r="O23" i="225" s="1"/>
  <c r="K33" i="225" s="1"/>
  <c r="V22" i="225"/>
  <c r="U22" i="225"/>
  <c r="M22" i="225"/>
  <c r="O22" i="225" s="1"/>
  <c r="J33" i="225" s="1"/>
  <c r="V21" i="225"/>
  <c r="U21" i="225"/>
  <c r="M21" i="225"/>
  <c r="O21" i="225" s="1"/>
  <c r="I33" i="225" s="1"/>
  <c r="V20" i="225"/>
  <c r="U20" i="225"/>
  <c r="M20" i="225"/>
  <c r="O20" i="225" s="1"/>
  <c r="H33" i="225" s="1"/>
  <c r="V19" i="225"/>
  <c r="U19" i="225"/>
  <c r="M19" i="225"/>
  <c r="O19" i="225" s="1"/>
  <c r="C19" i="225"/>
  <c r="C20" i="225" s="1"/>
  <c r="M30" i="224"/>
  <c r="D30" i="224"/>
  <c r="L29" i="224"/>
  <c r="K29" i="224"/>
  <c r="J29" i="224"/>
  <c r="I29" i="224"/>
  <c r="H29" i="224"/>
  <c r="G29" i="224"/>
  <c r="D29" i="224"/>
  <c r="N25" i="224"/>
  <c r="V24" i="224"/>
  <c r="U24" i="224"/>
  <c r="M24" i="224"/>
  <c r="O24" i="224" s="1"/>
  <c r="V23" i="224"/>
  <c r="U23" i="224"/>
  <c r="M23" i="224"/>
  <c r="O23" i="224" s="1"/>
  <c r="K31" i="224" s="1"/>
  <c r="V22" i="224"/>
  <c r="U22" i="224"/>
  <c r="M22" i="224"/>
  <c r="O22" i="224" s="1"/>
  <c r="V21" i="224"/>
  <c r="U21" i="224"/>
  <c r="M21" i="224"/>
  <c r="O21" i="224" s="1"/>
  <c r="I31" i="224" s="1"/>
  <c r="V20" i="224"/>
  <c r="U20" i="224"/>
  <c r="M20" i="224"/>
  <c r="O20" i="224" s="1"/>
  <c r="V19" i="224"/>
  <c r="U19" i="224"/>
  <c r="M19" i="224"/>
  <c r="O19" i="224" s="1"/>
  <c r="C19" i="224"/>
  <c r="C20" i="224" s="1"/>
  <c r="M31" i="223"/>
  <c r="D31" i="223"/>
  <c r="L30" i="223"/>
  <c r="K30" i="223"/>
  <c r="J30" i="223"/>
  <c r="I30" i="223"/>
  <c r="H30" i="223"/>
  <c r="G30" i="223"/>
  <c r="D30" i="223"/>
  <c r="N26" i="223"/>
  <c r="V25" i="223"/>
  <c r="U25" i="223"/>
  <c r="M25" i="223"/>
  <c r="O25" i="223" s="1"/>
  <c r="V24" i="223"/>
  <c r="U24" i="223"/>
  <c r="M24" i="223"/>
  <c r="O24" i="223" s="1"/>
  <c r="L32" i="223" s="1"/>
  <c r="V23" i="223"/>
  <c r="U23" i="223"/>
  <c r="M23" i="223"/>
  <c r="O23" i="223" s="1"/>
  <c r="V22" i="223"/>
  <c r="U22" i="223"/>
  <c r="M22" i="223"/>
  <c r="O22" i="223" s="1"/>
  <c r="V21" i="223"/>
  <c r="U21" i="223"/>
  <c r="M21" i="223"/>
  <c r="O21" i="223" s="1"/>
  <c r="I32" i="223" s="1"/>
  <c r="V20" i="223"/>
  <c r="U20" i="223"/>
  <c r="M20" i="223"/>
  <c r="O20" i="223" s="1"/>
  <c r="V19" i="223"/>
  <c r="U19" i="223"/>
  <c r="M19" i="223"/>
  <c r="O19" i="223" s="1"/>
  <c r="C19" i="223"/>
  <c r="C20" i="223" s="1"/>
  <c r="M31" i="222"/>
  <c r="D31" i="222"/>
  <c r="L30" i="222"/>
  <c r="K30" i="222"/>
  <c r="J30" i="222"/>
  <c r="I30" i="222"/>
  <c r="H30" i="222"/>
  <c r="G30" i="222"/>
  <c r="D30" i="222"/>
  <c r="N26" i="222"/>
  <c r="V25" i="222"/>
  <c r="U25" i="222"/>
  <c r="M25" i="222"/>
  <c r="O25" i="222" s="1"/>
  <c r="V24" i="222"/>
  <c r="U24" i="222"/>
  <c r="M24" i="222"/>
  <c r="O24" i="222" s="1"/>
  <c r="V23" i="222"/>
  <c r="U23" i="222"/>
  <c r="M23" i="222"/>
  <c r="O23" i="222" s="1"/>
  <c r="V22" i="222"/>
  <c r="U22" i="222"/>
  <c r="M22" i="222"/>
  <c r="O22" i="222" s="1"/>
  <c r="V21" i="222"/>
  <c r="U21" i="222"/>
  <c r="M21" i="222"/>
  <c r="O21" i="222" s="1"/>
  <c r="I32" i="222" s="1"/>
  <c r="V20" i="222"/>
  <c r="U20" i="222"/>
  <c r="M20" i="222"/>
  <c r="O20" i="222" s="1"/>
  <c r="V19" i="222"/>
  <c r="U19" i="222"/>
  <c r="M19" i="222"/>
  <c r="O19" i="222" s="1"/>
  <c r="C19" i="222"/>
  <c r="A20" i="222" s="1"/>
  <c r="M31" i="221"/>
  <c r="D31" i="221"/>
  <c r="L30" i="221"/>
  <c r="K30" i="221"/>
  <c r="J30" i="221"/>
  <c r="I30" i="221"/>
  <c r="H30" i="221"/>
  <c r="G30" i="221"/>
  <c r="D30" i="221"/>
  <c r="N26" i="221"/>
  <c r="V25" i="221"/>
  <c r="U25" i="221"/>
  <c r="M25" i="221"/>
  <c r="O25" i="221" s="1"/>
  <c r="V24" i="221"/>
  <c r="U24" i="221"/>
  <c r="M24" i="221"/>
  <c r="O24" i="221" s="1"/>
  <c r="V23" i="221"/>
  <c r="U23" i="221"/>
  <c r="M23" i="221"/>
  <c r="O23" i="221" s="1"/>
  <c r="V22" i="221"/>
  <c r="U22" i="221"/>
  <c r="M22" i="221"/>
  <c r="O22" i="221" s="1"/>
  <c r="V21" i="221"/>
  <c r="U21" i="221"/>
  <c r="M21" i="221"/>
  <c r="O21" i="221" s="1"/>
  <c r="I32" i="221" s="1"/>
  <c r="V20" i="221"/>
  <c r="U20" i="221"/>
  <c r="M20" i="221"/>
  <c r="O20" i="221" s="1"/>
  <c r="V19" i="221"/>
  <c r="U19" i="221"/>
  <c r="M19" i="221"/>
  <c r="O19" i="221" s="1"/>
  <c r="C19" i="221"/>
  <c r="C20" i="221" s="1"/>
  <c r="M31" i="220"/>
  <c r="D31" i="220"/>
  <c r="L30" i="220"/>
  <c r="K30" i="220"/>
  <c r="J30" i="220"/>
  <c r="I30" i="220"/>
  <c r="H30" i="220"/>
  <c r="G30" i="220"/>
  <c r="D30" i="220"/>
  <c r="N26" i="220"/>
  <c r="V25" i="220"/>
  <c r="U25" i="220"/>
  <c r="M25" i="220"/>
  <c r="O25" i="220" s="1"/>
  <c r="V24" i="220"/>
  <c r="U24" i="220"/>
  <c r="M24" i="220"/>
  <c r="O24" i="220" s="1"/>
  <c r="V23" i="220"/>
  <c r="U23" i="220"/>
  <c r="M23" i="220"/>
  <c r="O23" i="220" s="1"/>
  <c r="V22" i="220"/>
  <c r="U22" i="220"/>
  <c r="M22" i="220"/>
  <c r="O22" i="220" s="1"/>
  <c r="V21" i="220"/>
  <c r="U21" i="220"/>
  <c r="M21" i="220"/>
  <c r="O21" i="220" s="1"/>
  <c r="I32" i="220" s="1"/>
  <c r="V20" i="220"/>
  <c r="U20" i="220"/>
  <c r="M20" i="220"/>
  <c r="O20" i="220" s="1"/>
  <c r="V19" i="220"/>
  <c r="U19" i="220"/>
  <c r="M19" i="220"/>
  <c r="O19" i="220" s="1"/>
  <c r="C19" i="220"/>
  <c r="C20" i="220" s="1"/>
  <c r="M31" i="219"/>
  <c r="D31" i="219"/>
  <c r="L30" i="219"/>
  <c r="K30" i="219"/>
  <c r="J30" i="219"/>
  <c r="I30" i="219"/>
  <c r="H30" i="219"/>
  <c r="G30" i="219"/>
  <c r="D30" i="219"/>
  <c r="N26" i="219"/>
  <c r="V25" i="219"/>
  <c r="U25" i="219"/>
  <c r="M25" i="219"/>
  <c r="O25" i="219" s="1"/>
  <c r="V24" i="219"/>
  <c r="U24" i="219"/>
  <c r="M24" i="219"/>
  <c r="O24" i="219" s="1"/>
  <c r="L32" i="219" s="1"/>
  <c r="V23" i="219"/>
  <c r="U23" i="219"/>
  <c r="M23" i="219"/>
  <c r="O23" i="219" s="1"/>
  <c r="V22" i="219"/>
  <c r="U22" i="219"/>
  <c r="M22" i="219"/>
  <c r="O22" i="219" s="1"/>
  <c r="V21" i="219"/>
  <c r="U21" i="219"/>
  <c r="M21" i="219"/>
  <c r="O21" i="219" s="1"/>
  <c r="V20" i="219"/>
  <c r="U20" i="219"/>
  <c r="M20" i="219"/>
  <c r="O20" i="219" s="1"/>
  <c r="H32" i="219" s="1"/>
  <c r="V19" i="219"/>
  <c r="U19" i="219"/>
  <c r="M19" i="219"/>
  <c r="O19" i="219" s="1"/>
  <c r="C19" i="219"/>
  <c r="A20" i="219" s="1"/>
  <c r="M33" i="218"/>
  <c r="D33" i="218"/>
  <c r="L32" i="218"/>
  <c r="K32" i="218"/>
  <c r="J32" i="218"/>
  <c r="I32" i="218"/>
  <c r="H32" i="218"/>
  <c r="G32" i="218"/>
  <c r="D32" i="218"/>
  <c r="N28" i="218"/>
  <c r="V26" i="218"/>
  <c r="U26" i="218"/>
  <c r="M26" i="218"/>
  <c r="O26" i="218" s="1"/>
  <c r="V25" i="218"/>
  <c r="U25" i="218"/>
  <c r="M25" i="218"/>
  <c r="O25" i="218" s="1"/>
  <c r="V24" i="218"/>
  <c r="U24" i="218"/>
  <c r="M24" i="218"/>
  <c r="O24" i="218" s="1"/>
  <c r="V23" i="218"/>
  <c r="U23" i="218"/>
  <c r="M23" i="218"/>
  <c r="O23" i="218" s="1"/>
  <c r="V22" i="218"/>
  <c r="U22" i="218"/>
  <c r="M22" i="218"/>
  <c r="O22" i="218" s="1"/>
  <c r="V21" i="218"/>
  <c r="U21" i="218"/>
  <c r="M21" i="218"/>
  <c r="O21" i="218" s="1"/>
  <c r="V20" i="218"/>
  <c r="U20" i="218"/>
  <c r="M20" i="218"/>
  <c r="O20" i="218" s="1"/>
  <c r="V19" i="218"/>
  <c r="U19" i="218"/>
  <c r="M19" i="218"/>
  <c r="O19" i="218" s="1"/>
  <c r="C19" i="218"/>
  <c r="C20" i="218" s="1"/>
  <c r="O25" i="31" l="1"/>
  <c r="G25" i="31"/>
  <c r="P25" i="31" s="1"/>
  <c r="M33" i="226"/>
  <c r="H32" i="223"/>
  <c r="C20" i="222"/>
  <c r="C21" i="222" s="1"/>
  <c r="C22" i="222" s="1"/>
  <c r="P26" i="222"/>
  <c r="P28" i="222" s="1"/>
  <c r="F52" i="31"/>
  <c r="K32" i="222"/>
  <c r="J32" i="222"/>
  <c r="H32" i="222"/>
  <c r="G32" i="222"/>
  <c r="N27" i="224"/>
  <c r="F14" i="224" s="1"/>
  <c r="F54" i="31"/>
  <c r="J31" i="224"/>
  <c r="H31" i="224"/>
  <c r="N28" i="223"/>
  <c r="F14" i="223" s="1"/>
  <c r="F53" i="31"/>
  <c r="K32" i="223"/>
  <c r="J32" i="223"/>
  <c r="I34" i="218"/>
  <c r="N30" i="218"/>
  <c r="F14" i="218" s="1"/>
  <c r="F48" i="31"/>
  <c r="H34" i="218"/>
  <c r="K34" i="218"/>
  <c r="J34" i="218"/>
  <c r="N29" i="225"/>
  <c r="F14" i="225" s="1"/>
  <c r="F55" i="31"/>
  <c r="I26" i="219"/>
  <c r="I32" i="219" s="1"/>
  <c r="P26" i="219"/>
  <c r="P28" i="219" s="1"/>
  <c r="F49" i="31"/>
  <c r="K32" i="219"/>
  <c r="J32" i="219"/>
  <c r="N28" i="220"/>
  <c r="F14" i="220" s="1"/>
  <c r="F50" i="31"/>
  <c r="K32" i="220"/>
  <c r="J32" i="220"/>
  <c r="H32" i="220"/>
  <c r="N28" i="221"/>
  <c r="F14" i="221" s="1"/>
  <c r="F51" i="31"/>
  <c r="K32" i="221"/>
  <c r="J32" i="221"/>
  <c r="H32" i="221"/>
  <c r="U26" i="222"/>
  <c r="U28" i="222" s="1"/>
  <c r="V25" i="224"/>
  <c r="V27" i="224" s="1"/>
  <c r="C21" i="226"/>
  <c r="C22" i="226" s="1"/>
  <c r="V27" i="225"/>
  <c r="V29" i="225" s="1"/>
  <c r="P27" i="225"/>
  <c r="P29" i="225" s="1"/>
  <c r="U27" i="225"/>
  <c r="U29" i="225" s="1"/>
  <c r="A20" i="225"/>
  <c r="U25" i="224"/>
  <c r="U27" i="224" s="1"/>
  <c r="P25" i="224"/>
  <c r="P27" i="224" s="1"/>
  <c r="V26" i="223"/>
  <c r="V28" i="223" s="1"/>
  <c r="U26" i="223"/>
  <c r="U28" i="223" s="1"/>
  <c r="P26" i="223"/>
  <c r="P28" i="223" s="1"/>
  <c r="N28" i="222"/>
  <c r="F14" i="222" s="1"/>
  <c r="V26" i="222"/>
  <c r="V28" i="222" s="1"/>
  <c r="V26" i="221"/>
  <c r="V28" i="221" s="1"/>
  <c r="U26" i="221"/>
  <c r="U28" i="221" s="1"/>
  <c r="C21" i="221"/>
  <c r="C22" i="221" s="1"/>
  <c r="A21" i="221"/>
  <c r="P26" i="221"/>
  <c r="P28" i="221" s="1"/>
  <c r="A20" i="221"/>
  <c r="V26" i="220"/>
  <c r="V28" i="220" s="1"/>
  <c r="U26" i="220"/>
  <c r="U28" i="220" s="1"/>
  <c r="P26" i="220"/>
  <c r="P28" i="220" s="1"/>
  <c r="V26" i="219"/>
  <c r="V28" i="219" s="1"/>
  <c r="N28" i="219"/>
  <c r="F14" i="219" s="1"/>
  <c r="U26" i="219"/>
  <c r="U28" i="219" s="1"/>
  <c r="C20" i="219"/>
  <c r="U28" i="218"/>
  <c r="U30" i="218" s="1"/>
  <c r="V28" i="218"/>
  <c r="V30" i="218" s="1"/>
  <c r="P28" i="218"/>
  <c r="P30" i="218" s="1"/>
  <c r="A20" i="218"/>
  <c r="C21" i="225"/>
  <c r="A21" i="225"/>
  <c r="O27" i="225"/>
  <c r="O29" i="225" s="1"/>
  <c r="G33" i="225"/>
  <c r="M33" i="225" s="1"/>
  <c r="C21" i="224"/>
  <c r="A21" i="224"/>
  <c r="O25" i="224"/>
  <c r="O27" i="224" s="1"/>
  <c r="G31" i="224"/>
  <c r="A20" i="224"/>
  <c r="A21" i="223"/>
  <c r="C21" i="223"/>
  <c r="O26" i="223"/>
  <c r="O28" i="223" s="1"/>
  <c r="G32" i="223"/>
  <c r="A20" i="223"/>
  <c r="O26" i="222"/>
  <c r="O28" i="222" s="1"/>
  <c r="O26" i="221"/>
  <c r="O28" i="221" s="1"/>
  <c r="G32" i="221"/>
  <c r="A21" i="220"/>
  <c r="C21" i="220"/>
  <c r="O26" i="220"/>
  <c r="O28" i="220" s="1"/>
  <c r="G32" i="220"/>
  <c r="A20" i="220"/>
  <c r="O26" i="219"/>
  <c r="O28" i="219" s="1"/>
  <c r="G32" i="219"/>
  <c r="A21" i="218"/>
  <c r="C21" i="218"/>
  <c r="O28" i="218"/>
  <c r="O30" i="218" s="1"/>
  <c r="G34" i="218"/>
  <c r="A22" i="226" l="1"/>
  <c r="F12" i="226"/>
  <c r="F13" i="226" s="1"/>
  <c r="E25" i="31"/>
  <c r="N25" i="31" s="1"/>
  <c r="Q25" i="31" s="1"/>
  <c r="R25" i="31" s="1"/>
  <c r="A22" i="222"/>
  <c r="A21" i="222"/>
  <c r="M32" i="222"/>
  <c r="F12" i="222" s="1"/>
  <c r="F13" i="222" s="1"/>
  <c r="M31" i="224"/>
  <c r="F12" i="224" s="1"/>
  <c r="F13" i="224" s="1"/>
  <c r="M32" i="223"/>
  <c r="F12" i="223" s="1"/>
  <c r="F13" i="223" s="1"/>
  <c r="M34" i="218"/>
  <c r="F12" i="218" s="1"/>
  <c r="F13" i="218" s="1"/>
  <c r="F12" i="225"/>
  <c r="F13" i="225" s="1"/>
  <c r="E55" i="31"/>
  <c r="M32" i="219"/>
  <c r="E49" i="31" s="1"/>
  <c r="M32" i="220"/>
  <c r="E50" i="31" s="1"/>
  <c r="M32" i="221"/>
  <c r="F12" i="221" s="1"/>
  <c r="F13" i="221" s="1"/>
  <c r="A23" i="226"/>
  <c r="C23" i="226"/>
  <c r="A22" i="221"/>
  <c r="C21" i="219"/>
  <c r="A21" i="219"/>
  <c r="C22" i="225"/>
  <c r="A22" i="225"/>
  <c r="C22" i="224"/>
  <c r="A22" i="224"/>
  <c r="C22" i="223"/>
  <c r="A22" i="223"/>
  <c r="A23" i="222"/>
  <c r="C23" i="222"/>
  <c r="C23" i="221"/>
  <c r="A23" i="221"/>
  <c r="C22" i="220"/>
  <c r="A22" i="220"/>
  <c r="C22" i="218"/>
  <c r="A22" i="218"/>
  <c r="E53" i="31" l="1"/>
  <c r="E52" i="31"/>
  <c r="E54" i="31"/>
  <c r="E48" i="31"/>
  <c r="F12" i="219"/>
  <c r="F13" i="219" s="1"/>
  <c r="F12" i="220"/>
  <c r="F13" i="220" s="1"/>
  <c r="E51" i="31"/>
  <c r="A24" i="226"/>
  <c r="C24" i="226"/>
  <c r="C22" i="219"/>
  <c r="A22" i="219"/>
  <c r="A23" i="225"/>
  <c r="C23" i="225"/>
  <c r="C23" i="224"/>
  <c r="A23" i="224"/>
  <c r="C23" i="223"/>
  <c r="A23" i="223"/>
  <c r="C24" i="222"/>
  <c r="A24" i="222"/>
  <c r="C24" i="221"/>
  <c r="A24" i="221"/>
  <c r="C23" i="220"/>
  <c r="A23" i="220"/>
  <c r="A23" i="218"/>
  <c r="C23" i="218"/>
  <c r="A25" i="226" l="1"/>
  <c r="C25" i="226"/>
  <c r="A23" i="219"/>
  <c r="C23" i="219"/>
  <c r="C24" i="225"/>
  <c r="A24" i="225"/>
  <c r="C24" i="224"/>
  <c r="A24" i="224"/>
  <c r="C24" i="223"/>
  <c r="A24" i="223"/>
  <c r="A25" i="222"/>
  <c r="C25" i="222"/>
  <c r="A25" i="221"/>
  <c r="C25" i="221"/>
  <c r="C24" i="220"/>
  <c r="A24" i="220"/>
  <c r="C24" i="218"/>
  <c r="A24" i="218"/>
  <c r="A26" i="226" l="1"/>
  <c r="C26" i="226"/>
  <c r="C24" i="219"/>
  <c r="A24" i="219"/>
  <c r="A25" i="225"/>
  <c r="C25" i="225"/>
  <c r="C25" i="223"/>
  <c r="A25" i="223"/>
  <c r="A25" i="220"/>
  <c r="C25" i="220"/>
  <c r="C25" i="218"/>
  <c r="A25" i="218"/>
  <c r="A25" i="219" l="1"/>
  <c r="C25" i="219"/>
  <c r="C26" i="225"/>
  <c r="A26" i="225"/>
  <c r="C26" i="218"/>
  <c r="A26" i="218"/>
  <c r="M31" i="217" l="1"/>
  <c r="D31" i="217"/>
  <c r="L30" i="217"/>
  <c r="K30" i="217"/>
  <c r="J30" i="217"/>
  <c r="I30" i="217"/>
  <c r="H30" i="217"/>
  <c r="G30" i="217"/>
  <c r="D30" i="217"/>
  <c r="N26" i="217"/>
  <c r="V25" i="217"/>
  <c r="U25" i="217"/>
  <c r="M25" i="217"/>
  <c r="O25" i="217" s="1"/>
  <c r="V24" i="217"/>
  <c r="U24" i="217"/>
  <c r="M24" i="217"/>
  <c r="O24" i="217" s="1"/>
  <c r="L32" i="217" s="1"/>
  <c r="V23" i="217"/>
  <c r="U23" i="217"/>
  <c r="M23" i="217"/>
  <c r="O23" i="217" s="1"/>
  <c r="K32" i="217" s="1"/>
  <c r="V22" i="217"/>
  <c r="U22" i="217"/>
  <c r="M22" i="217"/>
  <c r="O22" i="217" s="1"/>
  <c r="V21" i="217"/>
  <c r="U21" i="217"/>
  <c r="M21" i="217"/>
  <c r="O21" i="217" s="1"/>
  <c r="V20" i="217"/>
  <c r="U20" i="217"/>
  <c r="M20" i="217"/>
  <c r="O20" i="217" s="1"/>
  <c r="V19" i="217"/>
  <c r="U19" i="217"/>
  <c r="M19" i="217"/>
  <c r="O19" i="217" s="1"/>
  <c r="C19" i="217"/>
  <c r="C20" i="217" s="1"/>
  <c r="M31" i="216"/>
  <c r="D31" i="216"/>
  <c r="L30" i="216"/>
  <c r="K30" i="216"/>
  <c r="J30" i="216"/>
  <c r="I30" i="216"/>
  <c r="H30" i="216"/>
  <c r="G30" i="216"/>
  <c r="D30" i="216"/>
  <c r="N26" i="216"/>
  <c r="V25" i="216"/>
  <c r="U25" i="216"/>
  <c r="M25" i="216"/>
  <c r="O25" i="216" s="1"/>
  <c r="V24" i="216"/>
  <c r="U24" i="216"/>
  <c r="M24" i="216"/>
  <c r="O24" i="216" s="1"/>
  <c r="V23" i="216"/>
  <c r="U23" i="216"/>
  <c r="M23" i="216"/>
  <c r="O23" i="216" s="1"/>
  <c r="V22" i="216"/>
  <c r="U22" i="216"/>
  <c r="M22" i="216"/>
  <c r="O22" i="216" s="1"/>
  <c r="V21" i="216"/>
  <c r="U21" i="216"/>
  <c r="M21" i="216"/>
  <c r="O21" i="216" s="1"/>
  <c r="V20" i="216"/>
  <c r="U20" i="216"/>
  <c r="M20" i="216"/>
  <c r="O20" i="216" s="1"/>
  <c r="V19" i="216"/>
  <c r="U19" i="216"/>
  <c r="M19" i="216"/>
  <c r="O19" i="216" s="1"/>
  <c r="C19" i="216"/>
  <c r="C20" i="216" s="1"/>
  <c r="M32" i="215"/>
  <c r="D32" i="215"/>
  <c r="L31" i="215"/>
  <c r="K31" i="215"/>
  <c r="J31" i="215"/>
  <c r="I31" i="215"/>
  <c r="H31" i="215"/>
  <c r="G31" i="215"/>
  <c r="D31" i="215"/>
  <c r="N27" i="215"/>
  <c r="V26" i="215"/>
  <c r="U26" i="215"/>
  <c r="M26" i="215"/>
  <c r="O26" i="215" s="1"/>
  <c r="V25" i="215"/>
  <c r="U25" i="215"/>
  <c r="M25" i="215"/>
  <c r="O25" i="215" s="1"/>
  <c r="V24" i="215"/>
  <c r="U24" i="215"/>
  <c r="M24" i="215"/>
  <c r="O24" i="215" s="1"/>
  <c r="V23" i="215"/>
  <c r="U23" i="215"/>
  <c r="M23" i="215"/>
  <c r="O23" i="215" s="1"/>
  <c r="V22" i="215"/>
  <c r="U22" i="215"/>
  <c r="M22" i="215"/>
  <c r="O22" i="215" s="1"/>
  <c r="V21" i="215"/>
  <c r="U21" i="215"/>
  <c r="M21" i="215"/>
  <c r="O21" i="215" s="1"/>
  <c r="V20" i="215"/>
  <c r="U20" i="215"/>
  <c r="M20" i="215"/>
  <c r="O20" i="215" s="1"/>
  <c r="V19" i="215"/>
  <c r="U19" i="215"/>
  <c r="M19" i="215"/>
  <c r="O19" i="215" s="1"/>
  <c r="C19" i="215"/>
  <c r="C20" i="215" s="1"/>
  <c r="M32" i="214"/>
  <c r="D32" i="214"/>
  <c r="L31" i="214"/>
  <c r="K31" i="214"/>
  <c r="J31" i="214"/>
  <c r="I31" i="214"/>
  <c r="H31" i="214"/>
  <c r="G31" i="214"/>
  <c r="D31" i="214"/>
  <c r="N27" i="214"/>
  <c r="V26" i="214"/>
  <c r="U26" i="214"/>
  <c r="M26" i="214"/>
  <c r="O26" i="214" s="1"/>
  <c r="V25" i="214"/>
  <c r="U25" i="214"/>
  <c r="M25" i="214"/>
  <c r="O25" i="214" s="1"/>
  <c r="V24" i="214"/>
  <c r="U24" i="214"/>
  <c r="M24" i="214"/>
  <c r="O24" i="214" s="1"/>
  <c r="V23" i="214"/>
  <c r="U23" i="214"/>
  <c r="M23" i="214"/>
  <c r="O23" i="214" s="1"/>
  <c r="V22" i="214"/>
  <c r="U22" i="214"/>
  <c r="M22" i="214"/>
  <c r="O22" i="214" s="1"/>
  <c r="V21" i="214"/>
  <c r="U21" i="214"/>
  <c r="M21" i="214"/>
  <c r="O21" i="214" s="1"/>
  <c r="I33" i="214" s="1"/>
  <c r="V20" i="214"/>
  <c r="U20" i="214"/>
  <c r="M20" i="214"/>
  <c r="O20" i="214" s="1"/>
  <c r="V19" i="214"/>
  <c r="U19" i="214"/>
  <c r="M19" i="214"/>
  <c r="O19" i="214" s="1"/>
  <c r="C19" i="214"/>
  <c r="C20" i="214" s="1"/>
  <c r="N48" i="31"/>
  <c r="Q48" i="31" s="1"/>
  <c r="R48" i="31" s="1"/>
  <c r="N49" i="31"/>
  <c r="Q49" i="31" s="1"/>
  <c r="R49" i="31" s="1"/>
  <c r="N50" i="31"/>
  <c r="Q50" i="31" s="1"/>
  <c r="R50" i="31" s="1"/>
  <c r="N51" i="31"/>
  <c r="Q51" i="31" s="1"/>
  <c r="R51" i="31" s="1"/>
  <c r="N52" i="31"/>
  <c r="Q52" i="31" s="1"/>
  <c r="R52" i="31" s="1"/>
  <c r="N53" i="31"/>
  <c r="Q53" i="31" s="1"/>
  <c r="R53" i="31" s="1"/>
  <c r="N54" i="31"/>
  <c r="Q54" i="31" s="1"/>
  <c r="R54" i="31" s="1"/>
  <c r="O48" i="31"/>
  <c r="O49" i="31"/>
  <c r="O50" i="31"/>
  <c r="O51" i="31"/>
  <c r="O52" i="31"/>
  <c r="O53" i="31"/>
  <c r="O54" i="31"/>
  <c r="H33" i="214" l="1"/>
  <c r="K33" i="214"/>
  <c r="J33" i="214"/>
  <c r="N29" i="214"/>
  <c r="F14" i="214" s="1"/>
  <c r="F44" i="31"/>
  <c r="K32" i="216"/>
  <c r="N28" i="216"/>
  <c r="F14" i="216" s="1"/>
  <c r="F46" i="31"/>
  <c r="J32" i="216"/>
  <c r="I32" i="216"/>
  <c r="H32" i="216"/>
  <c r="I32" i="217"/>
  <c r="N28" i="217"/>
  <c r="F14" i="217" s="1"/>
  <c r="F47" i="31"/>
  <c r="J32" i="217"/>
  <c r="H32" i="217"/>
  <c r="H33" i="215"/>
  <c r="K33" i="215"/>
  <c r="J33" i="215"/>
  <c r="I33" i="215"/>
  <c r="N29" i="215"/>
  <c r="F14" i="215" s="1"/>
  <c r="F45" i="31"/>
  <c r="U27" i="215"/>
  <c r="U29" i="215" s="1"/>
  <c r="U26" i="217"/>
  <c r="U28" i="217" s="1"/>
  <c r="P26" i="217"/>
  <c r="P28" i="217" s="1"/>
  <c r="V26" i="217"/>
  <c r="V28" i="217" s="1"/>
  <c r="U26" i="216"/>
  <c r="U28" i="216" s="1"/>
  <c r="V26" i="216"/>
  <c r="V28" i="216" s="1"/>
  <c r="P26" i="216"/>
  <c r="P28" i="216" s="1"/>
  <c r="A20" i="216"/>
  <c r="V27" i="215"/>
  <c r="V29" i="215" s="1"/>
  <c r="A20" i="215"/>
  <c r="P27" i="215"/>
  <c r="P29" i="215" s="1"/>
  <c r="V27" i="214"/>
  <c r="V29" i="214" s="1"/>
  <c r="U27" i="214"/>
  <c r="U29" i="214" s="1"/>
  <c r="P27" i="214"/>
  <c r="P29" i="214" s="1"/>
  <c r="O27" i="214"/>
  <c r="O29" i="214" s="1"/>
  <c r="G33" i="214"/>
  <c r="C21" i="217"/>
  <c r="A21" i="217"/>
  <c r="O26" i="217"/>
  <c r="O28" i="217" s="1"/>
  <c r="G32" i="217"/>
  <c r="A20" i="217"/>
  <c r="C21" i="216"/>
  <c r="A21" i="216"/>
  <c r="O26" i="216"/>
  <c r="O28" i="216" s="1"/>
  <c r="G32" i="216"/>
  <c r="C21" i="215"/>
  <c r="A21" i="215"/>
  <c r="O27" i="215"/>
  <c r="O29" i="215" s="1"/>
  <c r="G33" i="215"/>
  <c r="C21" i="214"/>
  <c r="A21" i="214"/>
  <c r="A20" i="214"/>
  <c r="M30" i="213"/>
  <c r="D30" i="213"/>
  <c r="L29" i="213"/>
  <c r="K29" i="213"/>
  <c r="J29" i="213"/>
  <c r="I29" i="213"/>
  <c r="H29" i="213"/>
  <c r="G29" i="213"/>
  <c r="D29" i="213"/>
  <c r="P25" i="213"/>
  <c r="P27" i="213" s="1"/>
  <c r="N25" i="213"/>
  <c r="V24" i="213"/>
  <c r="U24" i="213"/>
  <c r="M24" i="213"/>
  <c r="O24" i="213" s="1"/>
  <c r="L31" i="213" s="1"/>
  <c r="V23" i="213"/>
  <c r="U23" i="213"/>
  <c r="M23" i="213"/>
  <c r="O23" i="213" s="1"/>
  <c r="V22" i="213"/>
  <c r="U22" i="213"/>
  <c r="M22" i="213"/>
  <c r="O22" i="213" s="1"/>
  <c r="V21" i="213"/>
  <c r="U21" i="213"/>
  <c r="M21" i="213"/>
  <c r="O21" i="213" s="1"/>
  <c r="I31" i="213" s="1"/>
  <c r="V20" i="213"/>
  <c r="U20" i="213"/>
  <c r="M20" i="213"/>
  <c r="O20" i="213" s="1"/>
  <c r="V19" i="213"/>
  <c r="U19" i="213"/>
  <c r="M19" i="213"/>
  <c r="O19" i="213" s="1"/>
  <c r="C19" i="213"/>
  <c r="C20" i="213" s="1"/>
  <c r="M32" i="212"/>
  <c r="D32" i="212"/>
  <c r="L31" i="212"/>
  <c r="K31" i="212"/>
  <c r="J31" i="212"/>
  <c r="I31" i="212"/>
  <c r="H31" i="212"/>
  <c r="G31" i="212"/>
  <c r="D31" i="212"/>
  <c r="N27" i="212"/>
  <c r="V26" i="212"/>
  <c r="U26" i="212"/>
  <c r="M26" i="212"/>
  <c r="O26" i="212" s="1"/>
  <c r="V25" i="212"/>
  <c r="U25" i="212"/>
  <c r="M25" i="212"/>
  <c r="O25" i="212" s="1"/>
  <c r="V24" i="212"/>
  <c r="U24" i="212"/>
  <c r="M24" i="212"/>
  <c r="O24" i="212" s="1"/>
  <c r="L33" i="212" s="1"/>
  <c r="V23" i="212"/>
  <c r="U23" i="212"/>
  <c r="M23" i="212"/>
  <c r="O23" i="212" s="1"/>
  <c r="V22" i="212"/>
  <c r="U22" i="212"/>
  <c r="M22" i="212"/>
  <c r="O22" i="212" s="1"/>
  <c r="J27" i="212" s="1"/>
  <c r="J33" i="212" s="1"/>
  <c r="V21" i="212"/>
  <c r="U21" i="212"/>
  <c r="M21" i="212"/>
  <c r="O21" i="212" s="1"/>
  <c r="V20" i="212"/>
  <c r="U20" i="212"/>
  <c r="M20" i="212"/>
  <c r="O20" i="212" s="1"/>
  <c r="V19" i="212"/>
  <c r="U19" i="212"/>
  <c r="M19" i="212"/>
  <c r="O19" i="212" s="1"/>
  <c r="G27" i="212" s="1"/>
  <c r="C19" i="212"/>
  <c r="C20" i="212" s="1"/>
  <c r="M30" i="211"/>
  <c r="D30" i="211"/>
  <c r="L29" i="211"/>
  <c r="K29" i="211"/>
  <c r="J29" i="211"/>
  <c r="I29" i="211"/>
  <c r="H29" i="211"/>
  <c r="G29" i="211"/>
  <c r="D29" i="211"/>
  <c r="N25" i="211"/>
  <c r="V24" i="211"/>
  <c r="U24" i="211"/>
  <c r="M24" i="211"/>
  <c r="O24" i="211" s="1"/>
  <c r="L31" i="211" s="1"/>
  <c r="V23" i="211"/>
  <c r="U23" i="211"/>
  <c r="M23" i="211"/>
  <c r="O23" i="211" s="1"/>
  <c r="K25" i="211" s="1"/>
  <c r="K31" i="211" s="1"/>
  <c r="V22" i="211"/>
  <c r="U22" i="211"/>
  <c r="M22" i="211"/>
  <c r="O22" i="211" s="1"/>
  <c r="V21" i="211"/>
  <c r="U21" i="211"/>
  <c r="M21" i="211"/>
  <c r="O21" i="211" s="1"/>
  <c r="V20" i="211"/>
  <c r="U20" i="211"/>
  <c r="M20" i="211"/>
  <c r="O20" i="211" s="1"/>
  <c r="V19" i="211"/>
  <c r="U19" i="211"/>
  <c r="M19" i="211"/>
  <c r="O19" i="211" s="1"/>
  <c r="G25" i="211" s="1"/>
  <c r="C19" i="211"/>
  <c r="C20" i="211" s="1"/>
  <c r="M31" i="210"/>
  <c r="D31" i="210"/>
  <c r="L30" i="210"/>
  <c r="K30" i="210"/>
  <c r="J30" i="210"/>
  <c r="I30" i="210"/>
  <c r="H30" i="210"/>
  <c r="G30" i="210"/>
  <c r="D30" i="210"/>
  <c r="N26" i="210"/>
  <c r="V25" i="210"/>
  <c r="U25" i="210"/>
  <c r="M25" i="210"/>
  <c r="O25" i="210" s="1"/>
  <c r="V24" i="210"/>
  <c r="U24" i="210"/>
  <c r="M24" i="210"/>
  <c r="O24" i="210" s="1"/>
  <c r="V23" i="210"/>
  <c r="U23" i="210"/>
  <c r="M23" i="210"/>
  <c r="O23" i="210" s="1"/>
  <c r="V22" i="210"/>
  <c r="U22" i="210"/>
  <c r="M22" i="210"/>
  <c r="O22" i="210" s="1"/>
  <c r="V21" i="210"/>
  <c r="U21" i="210"/>
  <c r="M21" i="210"/>
  <c r="O21" i="210" s="1"/>
  <c r="I32" i="210" s="1"/>
  <c r="V20" i="210"/>
  <c r="U20" i="210"/>
  <c r="M20" i="210"/>
  <c r="O20" i="210" s="1"/>
  <c r="V19" i="210"/>
  <c r="U19" i="210"/>
  <c r="M19" i="210"/>
  <c r="O19" i="210" s="1"/>
  <c r="C19" i="210"/>
  <c r="C20" i="210" s="1"/>
  <c r="D32" i="209"/>
  <c r="L31" i="209"/>
  <c r="K31" i="209"/>
  <c r="J31" i="209"/>
  <c r="I31" i="209"/>
  <c r="H31" i="209"/>
  <c r="G31" i="209"/>
  <c r="D31" i="209"/>
  <c r="N27" i="209"/>
  <c r="V26" i="209"/>
  <c r="U26" i="209"/>
  <c r="M26" i="209"/>
  <c r="O26" i="209" s="1"/>
  <c r="V25" i="209"/>
  <c r="U25" i="209"/>
  <c r="M25" i="209"/>
  <c r="O25" i="209" s="1"/>
  <c r="V24" i="209"/>
  <c r="U24" i="209"/>
  <c r="M24" i="209"/>
  <c r="O24" i="209" s="1"/>
  <c r="V23" i="209"/>
  <c r="U23" i="209"/>
  <c r="M23" i="209"/>
  <c r="O23" i="209" s="1"/>
  <c r="K33" i="209" s="1"/>
  <c r="V22" i="209"/>
  <c r="U22" i="209"/>
  <c r="M22" i="209"/>
  <c r="O22" i="209" s="1"/>
  <c r="V21" i="209"/>
  <c r="U21" i="209"/>
  <c r="M21" i="209"/>
  <c r="O21" i="209" s="1"/>
  <c r="I33" i="209" s="1"/>
  <c r="V20" i="209"/>
  <c r="U20" i="209"/>
  <c r="M20" i="209"/>
  <c r="O20" i="209" s="1"/>
  <c r="V19" i="209"/>
  <c r="U19" i="209"/>
  <c r="M19" i="209"/>
  <c r="O19" i="209" s="1"/>
  <c r="C19" i="209"/>
  <c r="C20" i="209" s="1"/>
  <c r="M32" i="208"/>
  <c r="D32" i="208"/>
  <c r="L31" i="208"/>
  <c r="K31" i="208"/>
  <c r="J31" i="208"/>
  <c r="I31" i="208"/>
  <c r="H31" i="208"/>
  <c r="G31" i="208"/>
  <c r="D31" i="208"/>
  <c r="N27" i="208"/>
  <c r="V26" i="208"/>
  <c r="U26" i="208"/>
  <c r="M26" i="208"/>
  <c r="O26" i="208" s="1"/>
  <c r="V25" i="208"/>
  <c r="U25" i="208"/>
  <c r="M25" i="208"/>
  <c r="O25" i="208" s="1"/>
  <c r="V24" i="208"/>
  <c r="U24" i="208"/>
  <c r="M24" i="208"/>
  <c r="O24" i="208" s="1"/>
  <c r="L33" i="208" s="1"/>
  <c r="V23" i="208"/>
  <c r="U23" i="208"/>
  <c r="M23" i="208"/>
  <c r="O23" i="208" s="1"/>
  <c r="V22" i="208"/>
  <c r="U22" i="208"/>
  <c r="M22" i="208"/>
  <c r="O22" i="208" s="1"/>
  <c r="J27" i="208" s="1"/>
  <c r="V21" i="208"/>
  <c r="U21" i="208"/>
  <c r="M21" i="208"/>
  <c r="O21" i="208" s="1"/>
  <c r="V20" i="208"/>
  <c r="U20" i="208"/>
  <c r="M20" i="208"/>
  <c r="O20" i="208" s="1"/>
  <c r="V19" i="208"/>
  <c r="U19" i="208"/>
  <c r="M19" i="208"/>
  <c r="O19" i="208" s="1"/>
  <c r="G27" i="208" s="1"/>
  <c r="C19" i="208"/>
  <c r="C20" i="208" s="1"/>
  <c r="M31" i="207"/>
  <c r="D31" i="207"/>
  <c r="L30" i="207"/>
  <c r="K30" i="207"/>
  <c r="J30" i="207"/>
  <c r="I30" i="207"/>
  <c r="H30" i="207"/>
  <c r="G30" i="207"/>
  <c r="D30" i="207"/>
  <c r="N26" i="207"/>
  <c r="V25" i="207"/>
  <c r="U25" i="207"/>
  <c r="M25" i="207"/>
  <c r="O25" i="207" s="1"/>
  <c r="V24" i="207"/>
  <c r="U24" i="207"/>
  <c r="M24" i="207"/>
  <c r="O24" i="207" s="1"/>
  <c r="L32" i="207" s="1"/>
  <c r="V23" i="207"/>
  <c r="U23" i="207"/>
  <c r="M23" i="207"/>
  <c r="O23" i="207" s="1"/>
  <c r="K32" i="207" s="1"/>
  <c r="V22" i="207"/>
  <c r="U22" i="207"/>
  <c r="M22" i="207"/>
  <c r="O22" i="207" s="1"/>
  <c r="V21" i="207"/>
  <c r="U21" i="207"/>
  <c r="M21" i="207"/>
  <c r="O21" i="207" s="1"/>
  <c r="V20" i="207"/>
  <c r="U20" i="207"/>
  <c r="M20" i="207"/>
  <c r="O20" i="207" s="1"/>
  <c r="V19" i="207"/>
  <c r="U19" i="207"/>
  <c r="M19" i="207"/>
  <c r="O19" i="207" s="1"/>
  <c r="C19" i="207"/>
  <c r="C20" i="207" s="1"/>
  <c r="M31" i="206"/>
  <c r="D31" i="206"/>
  <c r="L30" i="206"/>
  <c r="K30" i="206"/>
  <c r="J30" i="206"/>
  <c r="I30" i="206"/>
  <c r="H30" i="206"/>
  <c r="G30" i="206"/>
  <c r="D30" i="206"/>
  <c r="N26" i="206"/>
  <c r="V25" i="206"/>
  <c r="U25" i="206"/>
  <c r="M25" i="206"/>
  <c r="O25" i="206" s="1"/>
  <c r="V24" i="206"/>
  <c r="U24" i="206"/>
  <c r="M24" i="206"/>
  <c r="O24" i="206" s="1"/>
  <c r="V23" i="206"/>
  <c r="U23" i="206"/>
  <c r="M23" i="206"/>
  <c r="O23" i="206" s="1"/>
  <c r="V22" i="206"/>
  <c r="U22" i="206"/>
  <c r="M22" i="206"/>
  <c r="O22" i="206" s="1"/>
  <c r="J32" i="206" s="1"/>
  <c r="V21" i="206"/>
  <c r="U21" i="206"/>
  <c r="M21" i="206"/>
  <c r="O21" i="206" s="1"/>
  <c r="V20" i="206"/>
  <c r="U20" i="206"/>
  <c r="M20" i="206"/>
  <c r="O20" i="206" s="1"/>
  <c r="V19" i="206"/>
  <c r="U19" i="206"/>
  <c r="M19" i="206"/>
  <c r="O19" i="206" s="1"/>
  <c r="G26" i="206" s="1"/>
  <c r="C19" i="206"/>
  <c r="C20" i="206" s="1"/>
  <c r="M30" i="205"/>
  <c r="D30" i="205"/>
  <c r="L29" i="205"/>
  <c r="K29" i="205"/>
  <c r="J29" i="205"/>
  <c r="I29" i="205"/>
  <c r="H29" i="205"/>
  <c r="G29" i="205"/>
  <c r="D29" i="205"/>
  <c r="N25" i="205"/>
  <c r="V24" i="205"/>
  <c r="U24" i="205"/>
  <c r="M24" i="205"/>
  <c r="O24" i="205" s="1"/>
  <c r="V23" i="205"/>
  <c r="U23" i="205"/>
  <c r="M23" i="205"/>
  <c r="O23" i="205" s="1"/>
  <c r="V22" i="205"/>
  <c r="U22" i="205"/>
  <c r="M22" i="205"/>
  <c r="O22" i="205" s="1"/>
  <c r="V21" i="205"/>
  <c r="U21" i="205"/>
  <c r="M21" i="205"/>
  <c r="O21" i="205" s="1"/>
  <c r="I31" i="205" s="1"/>
  <c r="V20" i="205"/>
  <c r="U20" i="205"/>
  <c r="M20" i="205"/>
  <c r="O20" i="205" s="1"/>
  <c r="V19" i="205"/>
  <c r="U19" i="205"/>
  <c r="M19" i="205"/>
  <c r="O19" i="205" s="1"/>
  <c r="C19" i="205"/>
  <c r="C20" i="205" s="1"/>
  <c r="M31" i="204"/>
  <c r="D31" i="204"/>
  <c r="L30" i="204"/>
  <c r="K30" i="204"/>
  <c r="J30" i="204"/>
  <c r="I30" i="204"/>
  <c r="H30" i="204"/>
  <c r="G30" i="204"/>
  <c r="D30" i="204"/>
  <c r="N26" i="204"/>
  <c r="V25" i="204"/>
  <c r="U25" i="204"/>
  <c r="M25" i="204"/>
  <c r="O25" i="204" s="1"/>
  <c r="V24" i="204"/>
  <c r="U24" i="204"/>
  <c r="M24" i="204"/>
  <c r="O24" i="204" s="1"/>
  <c r="V23" i="204"/>
  <c r="U23" i="204"/>
  <c r="M23" i="204"/>
  <c r="O23" i="204" s="1"/>
  <c r="V22" i="204"/>
  <c r="U22" i="204"/>
  <c r="M22" i="204"/>
  <c r="O22" i="204" s="1"/>
  <c r="J32" i="204" s="1"/>
  <c r="V21" i="204"/>
  <c r="U21" i="204"/>
  <c r="M21" i="204"/>
  <c r="O21" i="204" s="1"/>
  <c r="I32" i="204" s="1"/>
  <c r="V20" i="204"/>
  <c r="U20" i="204"/>
  <c r="M20" i="204"/>
  <c r="O20" i="204" s="1"/>
  <c r="V19" i="204"/>
  <c r="U19" i="204"/>
  <c r="M19" i="204"/>
  <c r="O19" i="204" s="1"/>
  <c r="G26" i="204" s="1"/>
  <c r="C19" i="204"/>
  <c r="C20" i="204" s="1"/>
  <c r="M31" i="203"/>
  <c r="D31" i="203"/>
  <c r="L30" i="203"/>
  <c r="K30" i="203"/>
  <c r="J30" i="203"/>
  <c r="I30" i="203"/>
  <c r="H30" i="203"/>
  <c r="G30" i="203"/>
  <c r="D30" i="203"/>
  <c r="N26" i="203"/>
  <c r="V25" i="203"/>
  <c r="U25" i="203"/>
  <c r="M25" i="203"/>
  <c r="O25" i="203" s="1"/>
  <c r="V24" i="203"/>
  <c r="U24" i="203"/>
  <c r="M24" i="203"/>
  <c r="O24" i="203" s="1"/>
  <c r="M23" i="203"/>
  <c r="O23" i="203" s="1"/>
  <c r="M22" i="203"/>
  <c r="O22" i="203" s="1"/>
  <c r="M21" i="203"/>
  <c r="O21" i="203" s="1"/>
  <c r="I32" i="203" s="1"/>
  <c r="M20" i="203"/>
  <c r="O20" i="203" s="1"/>
  <c r="H32" i="203" s="1"/>
  <c r="M19" i="203"/>
  <c r="O19" i="203" s="1"/>
  <c r="C19" i="203"/>
  <c r="C20" i="203" s="1"/>
  <c r="M31" i="202"/>
  <c r="D31" i="202"/>
  <c r="L30" i="202"/>
  <c r="K30" i="202"/>
  <c r="J30" i="202"/>
  <c r="I30" i="202"/>
  <c r="H30" i="202"/>
  <c r="G30" i="202"/>
  <c r="D30" i="202"/>
  <c r="N26" i="202"/>
  <c r="N28" i="202" s="1"/>
  <c r="F14" i="202" s="1"/>
  <c r="V25" i="202"/>
  <c r="U25" i="202"/>
  <c r="M25" i="202"/>
  <c r="O25" i="202" s="1"/>
  <c r="V24" i="202"/>
  <c r="U24" i="202"/>
  <c r="M24" i="202"/>
  <c r="O24" i="202" s="1"/>
  <c r="V23" i="202"/>
  <c r="U23" i="202"/>
  <c r="M23" i="202"/>
  <c r="O23" i="202" s="1"/>
  <c r="V22" i="202"/>
  <c r="U22" i="202"/>
  <c r="M22" i="202"/>
  <c r="O22" i="202" s="1"/>
  <c r="J26" i="202" s="1"/>
  <c r="V21" i="202"/>
  <c r="U21" i="202"/>
  <c r="M21" i="202"/>
  <c r="O21" i="202" s="1"/>
  <c r="V20" i="202"/>
  <c r="U20" i="202"/>
  <c r="M20" i="202"/>
  <c r="O20" i="202" s="1"/>
  <c r="V19" i="202"/>
  <c r="U19" i="202"/>
  <c r="M19" i="202"/>
  <c r="O19" i="202" s="1"/>
  <c r="G26" i="202" s="1"/>
  <c r="C19" i="202"/>
  <c r="C20" i="202" s="1"/>
  <c r="M31" i="201"/>
  <c r="D31" i="201"/>
  <c r="L30" i="201"/>
  <c r="K30" i="201"/>
  <c r="J30" i="201"/>
  <c r="I30" i="201"/>
  <c r="H30" i="201"/>
  <c r="G30" i="201"/>
  <c r="D30" i="201"/>
  <c r="N26" i="201"/>
  <c r="P26" i="201" s="1"/>
  <c r="P28" i="201" s="1"/>
  <c r="V25" i="201"/>
  <c r="U25" i="201"/>
  <c r="M25" i="201"/>
  <c r="O25" i="201" s="1"/>
  <c r="V24" i="201"/>
  <c r="U24" i="201"/>
  <c r="M24" i="201"/>
  <c r="O24" i="201" s="1"/>
  <c r="L32" i="201" s="1"/>
  <c r="V23" i="201"/>
  <c r="U23" i="201"/>
  <c r="M23" i="201"/>
  <c r="O23" i="201" s="1"/>
  <c r="V22" i="201"/>
  <c r="U22" i="201"/>
  <c r="M22" i="201"/>
  <c r="O22" i="201" s="1"/>
  <c r="J26" i="201" s="1"/>
  <c r="V21" i="201"/>
  <c r="U21" i="201"/>
  <c r="M21" i="201"/>
  <c r="O21" i="201" s="1"/>
  <c r="V20" i="201"/>
  <c r="U20" i="201"/>
  <c r="M20" i="201"/>
  <c r="O20" i="201" s="1"/>
  <c r="V19" i="201"/>
  <c r="U19" i="201"/>
  <c r="M19" i="201"/>
  <c r="O19" i="201" s="1"/>
  <c r="G26" i="201" s="1"/>
  <c r="C19" i="201"/>
  <c r="C20" i="201" s="1"/>
  <c r="M31" i="200"/>
  <c r="D31" i="200"/>
  <c r="L30" i="200"/>
  <c r="K30" i="200"/>
  <c r="J30" i="200"/>
  <c r="I30" i="200"/>
  <c r="H30" i="200"/>
  <c r="G30" i="200"/>
  <c r="D30" i="200"/>
  <c r="N26" i="200"/>
  <c r="N28" i="200" s="1"/>
  <c r="F14" i="200" s="1"/>
  <c r="V25" i="200"/>
  <c r="U25" i="200"/>
  <c r="M25" i="200"/>
  <c r="O25" i="200" s="1"/>
  <c r="V24" i="200"/>
  <c r="U24" i="200"/>
  <c r="M24" i="200"/>
  <c r="O24" i="200" s="1"/>
  <c r="L32" i="200" s="1"/>
  <c r="V23" i="200"/>
  <c r="U23" i="200"/>
  <c r="M23" i="200"/>
  <c r="O23" i="200" s="1"/>
  <c r="K26" i="200" s="1"/>
  <c r="V22" i="200"/>
  <c r="U22" i="200"/>
  <c r="M22" i="200"/>
  <c r="O22" i="200" s="1"/>
  <c r="J26" i="200" s="1"/>
  <c r="V21" i="200"/>
  <c r="U21" i="200"/>
  <c r="M21" i="200"/>
  <c r="O21" i="200" s="1"/>
  <c r="V20" i="200"/>
  <c r="U20" i="200"/>
  <c r="M20" i="200"/>
  <c r="O20" i="200" s="1"/>
  <c r="V19" i="200"/>
  <c r="U19" i="200"/>
  <c r="M19" i="200"/>
  <c r="O19" i="200" s="1"/>
  <c r="G26" i="200" s="1"/>
  <c r="C19" i="200"/>
  <c r="C20" i="200" s="1"/>
  <c r="M31" i="199"/>
  <c r="D31" i="199"/>
  <c r="L30" i="199"/>
  <c r="K30" i="199"/>
  <c r="J30" i="199"/>
  <c r="I30" i="199"/>
  <c r="H30" i="199"/>
  <c r="G30" i="199"/>
  <c r="D30" i="199"/>
  <c r="N26" i="199"/>
  <c r="N28" i="199" s="1"/>
  <c r="F14" i="199" s="1"/>
  <c r="V25" i="199"/>
  <c r="U25" i="199"/>
  <c r="M25" i="199"/>
  <c r="O25" i="199" s="1"/>
  <c r="V24" i="199"/>
  <c r="U24" i="199"/>
  <c r="M24" i="199"/>
  <c r="O24" i="199" s="1"/>
  <c r="V23" i="199"/>
  <c r="U23" i="199"/>
  <c r="M23" i="199"/>
  <c r="O23" i="199" s="1"/>
  <c r="K26" i="199" s="1"/>
  <c r="V22" i="199"/>
  <c r="U22" i="199"/>
  <c r="M22" i="199"/>
  <c r="O22" i="199" s="1"/>
  <c r="J26" i="199" s="1"/>
  <c r="V21" i="199"/>
  <c r="U21" i="199"/>
  <c r="M21" i="199"/>
  <c r="O21" i="199" s="1"/>
  <c r="V20" i="199"/>
  <c r="U20" i="199"/>
  <c r="M20" i="199"/>
  <c r="O20" i="199" s="1"/>
  <c r="V19" i="199"/>
  <c r="U19" i="199"/>
  <c r="M19" i="199"/>
  <c r="O19" i="199" s="1"/>
  <c r="G26" i="199" s="1"/>
  <c r="C19" i="199"/>
  <c r="C20" i="199" s="1"/>
  <c r="M33" i="198"/>
  <c r="D33" i="198"/>
  <c r="L32" i="198"/>
  <c r="K32" i="198"/>
  <c r="J32" i="198"/>
  <c r="I32" i="198"/>
  <c r="H32" i="198"/>
  <c r="G32" i="198"/>
  <c r="D32" i="198"/>
  <c r="N28" i="198"/>
  <c r="N30" i="198" s="1"/>
  <c r="F14" i="198" s="1"/>
  <c r="V27" i="198"/>
  <c r="U27" i="198"/>
  <c r="M27" i="198"/>
  <c r="O27" i="198" s="1"/>
  <c r="V26" i="198"/>
  <c r="U26" i="198"/>
  <c r="M26" i="198"/>
  <c r="O26" i="198" s="1"/>
  <c r="V25" i="198"/>
  <c r="U25" i="198"/>
  <c r="M25" i="198"/>
  <c r="O25" i="198" s="1"/>
  <c r="V24" i="198"/>
  <c r="U24" i="198"/>
  <c r="M24" i="198"/>
  <c r="O24" i="198" s="1"/>
  <c r="V23" i="198"/>
  <c r="U23" i="198"/>
  <c r="M23" i="198"/>
  <c r="O23" i="198" s="1"/>
  <c r="K28" i="198" s="1"/>
  <c r="V22" i="198"/>
  <c r="U22" i="198"/>
  <c r="M22" i="198"/>
  <c r="O22" i="198" s="1"/>
  <c r="V21" i="198"/>
  <c r="U21" i="198"/>
  <c r="M21" i="198"/>
  <c r="O21" i="198" s="1"/>
  <c r="V20" i="198"/>
  <c r="U20" i="198"/>
  <c r="M20" i="198"/>
  <c r="O20" i="198" s="1"/>
  <c r="H28" i="198" s="1"/>
  <c r="V19" i="198"/>
  <c r="U19" i="198"/>
  <c r="M19" i="198"/>
  <c r="O19" i="198" s="1"/>
  <c r="G28" i="198" s="1"/>
  <c r="C19" i="198"/>
  <c r="A20" i="198" s="1"/>
  <c r="M30" i="197"/>
  <c r="D30" i="197"/>
  <c r="L29" i="197"/>
  <c r="K29" i="197"/>
  <c r="J29" i="197"/>
  <c r="I29" i="197"/>
  <c r="H29" i="197"/>
  <c r="G29" i="197"/>
  <c r="D29" i="197"/>
  <c r="N25" i="197"/>
  <c r="N27" i="197" s="1"/>
  <c r="F14" i="197" s="1"/>
  <c r="V24" i="197"/>
  <c r="U24" i="197"/>
  <c r="M24" i="197"/>
  <c r="O24" i="197" s="1"/>
  <c r="V23" i="197"/>
  <c r="U23" i="197"/>
  <c r="M23" i="197"/>
  <c r="O23" i="197" s="1"/>
  <c r="K31" i="197" s="1"/>
  <c r="V22" i="197"/>
  <c r="U22" i="197"/>
  <c r="M22" i="197"/>
  <c r="O22" i="197" s="1"/>
  <c r="V21" i="197"/>
  <c r="U21" i="197"/>
  <c r="M21" i="197"/>
  <c r="O21" i="197" s="1"/>
  <c r="V20" i="197"/>
  <c r="U20" i="197"/>
  <c r="M20" i="197"/>
  <c r="O20" i="197" s="1"/>
  <c r="V19" i="197"/>
  <c r="U19" i="197"/>
  <c r="M19" i="197"/>
  <c r="O19" i="197" s="1"/>
  <c r="C19" i="197"/>
  <c r="C20" i="197" s="1"/>
  <c r="M30" i="196"/>
  <c r="D30" i="196"/>
  <c r="L29" i="196"/>
  <c r="K29" i="196"/>
  <c r="J29" i="196"/>
  <c r="I29" i="196"/>
  <c r="H29" i="196"/>
  <c r="G29" i="196"/>
  <c r="D29" i="196"/>
  <c r="N25" i="196"/>
  <c r="P25" i="196" s="1"/>
  <c r="P27" i="196" s="1"/>
  <c r="V24" i="196"/>
  <c r="U24" i="196"/>
  <c r="M24" i="196"/>
  <c r="O24" i="196" s="1"/>
  <c r="V23" i="196"/>
  <c r="U23" i="196"/>
  <c r="M23" i="196"/>
  <c r="O23" i="196" s="1"/>
  <c r="V22" i="196"/>
  <c r="U22" i="196"/>
  <c r="M22" i="196"/>
  <c r="O22" i="196" s="1"/>
  <c r="V21" i="196"/>
  <c r="U21" i="196"/>
  <c r="M21" i="196"/>
  <c r="O21" i="196" s="1"/>
  <c r="V20" i="196"/>
  <c r="U20" i="196"/>
  <c r="M20" i="196"/>
  <c r="O20" i="196" s="1"/>
  <c r="V19" i="196"/>
  <c r="U19" i="196"/>
  <c r="M19" i="196"/>
  <c r="O19" i="196" s="1"/>
  <c r="C19" i="196"/>
  <c r="C20" i="196" s="1"/>
  <c r="M32" i="195"/>
  <c r="D32" i="195"/>
  <c r="L31" i="195"/>
  <c r="K31" i="195"/>
  <c r="J31" i="195"/>
  <c r="I31" i="195"/>
  <c r="H31" i="195"/>
  <c r="G31" i="195"/>
  <c r="D31" i="195"/>
  <c r="N27" i="195"/>
  <c r="N29" i="195" s="1"/>
  <c r="F14" i="195" s="1"/>
  <c r="V26" i="195"/>
  <c r="U26" i="195"/>
  <c r="M26" i="195"/>
  <c r="O26" i="195" s="1"/>
  <c r="V25" i="195"/>
  <c r="U25" i="195"/>
  <c r="M25" i="195"/>
  <c r="O25" i="195" s="1"/>
  <c r="V24" i="195"/>
  <c r="U24" i="195"/>
  <c r="M24" i="195"/>
  <c r="O24" i="195" s="1"/>
  <c r="V23" i="195"/>
  <c r="U23" i="195"/>
  <c r="M23" i="195"/>
  <c r="O23" i="195" s="1"/>
  <c r="V22" i="195"/>
  <c r="U22" i="195"/>
  <c r="M22" i="195"/>
  <c r="O22" i="195" s="1"/>
  <c r="V21" i="195"/>
  <c r="U21" i="195"/>
  <c r="M21" i="195"/>
  <c r="O21" i="195" s="1"/>
  <c r="V20" i="195"/>
  <c r="U20" i="195"/>
  <c r="M20" i="195"/>
  <c r="O20" i="195" s="1"/>
  <c r="V19" i="195"/>
  <c r="U19" i="195"/>
  <c r="M19" i="195"/>
  <c r="O19" i="195" s="1"/>
  <c r="C19" i="195"/>
  <c r="C20" i="195" s="1"/>
  <c r="M32" i="194"/>
  <c r="D32" i="194"/>
  <c r="L31" i="194"/>
  <c r="K31" i="194"/>
  <c r="J31" i="194"/>
  <c r="I31" i="194"/>
  <c r="H31" i="194"/>
  <c r="G31" i="194"/>
  <c r="D31" i="194"/>
  <c r="N27" i="194"/>
  <c r="N29" i="194" s="1"/>
  <c r="F14" i="194" s="1"/>
  <c r="V26" i="194"/>
  <c r="U26" i="194"/>
  <c r="M26" i="194"/>
  <c r="O26" i="194" s="1"/>
  <c r="V25" i="194"/>
  <c r="U25" i="194"/>
  <c r="M25" i="194"/>
  <c r="O25" i="194" s="1"/>
  <c r="V24" i="194"/>
  <c r="U24" i="194"/>
  <c r="M24" i="194"/>
  <c r="O24" i="194" s="1"/>
  <c r="L27" i="194" s="1"/>
  <c r="L33" i="194" s="1"/>
  <c r="V23" i="194"/>
  <c r="U23" i="194"/>
  <c r="M23" i="194"/>
  <c r="O23" i="194" s="1"/>
  <c r="K27" i="194" s="1"/>
  <c r="K33" i="194" s="1"/>
  <c r="V22" i="194"/>
  <c r="U22" i="194"/>
  <c r="M22" i="194"/>
  <c r="O22" i="194" s="1"/>
  <c r="J27" i="194" s="1"/>
  <c r="J33" i="194" s="1"/>
  <c r="V21" i="194"/>
  <c r="U21" i="194"/>
  <c r="M21" i="194"/>
  <c r="O21" i="194" s="1"/>
  <c r="I27" i="194" s="1"/>
  <c r="I33" i="194" s="1"/>
  <c r="V20" i="194"/>
  <c r="U20" i="194"/>
  <c r="M20" i="194"/>
  <c r="O20" i="194" s="1"/>
  <c r="H27" i="194" s="1"/>
  <c r="H33" i="194" s="1"/>
  <c r="V19" i="194"/>
  <c r="U19" i="194"/>
  <c r="M19" i="194"/>
  <c r="O19" i="194" s="1"/>
  <c r="C19" i="194"/>
  <c r="C20" i="194" s="1"/>
  <c r="M32" i="193"/>
  <c r="D32" i="193"/>
  <c r="L31" i="193"/>
  <c r="K31" i="193"/>
  <c r="J31" i="193"/>
  <c r="I31" i="193"/>
  <c r="H31" i="193"/>
  <c r="G31" i="193"/>
  <c r="D31" i="193"/>
  <c r="N27" i="193"/>
  <c r="N29" i="193" s="1"/>
  <c r="F14" i="193" s="1"/>
  <c r="V26" i="193"/>
  <c r="U26" i="193"/>
  <c r="M26" i="193"/>
  <c r="O26" i="193" s="1"/>
  <c r="V25" i="193"/>
  <c r="U25" i="193"/>
  <c r="M25" i="193"/>
  <c r="O25" i="193" s="1"/>
  <c r="V24" i="193"/>
  <c r="U24" i="193"/>
  <c r="M24" i="193"/>
  <c r="O24" i="193" s="1"/>
  <c r="V23" i="193"/>
  <c r="U23" i="193"/>
  <c r="M23" i="193"/>
  <c r="O23" i="193" s="1"/>
  <c r="K27" i="193" s="1"/>
  <c r="K33" i="193" s="1"/>
  <c r="V22" i="193"/>
  <c r="U22" i="193"/>
  <c r="M22" i="193"/>
  <c r="O22" i="193" s="1"/>
  <c r="V21" i="193"/>
  <c r="U21" i="193"/>
  <c r="M21" i="193"/>
  <c r="O21" i="193" s="1"/>
  <c r="V20" i="193"/>
  <c r="U20" i="193"/>
  <c r="M20" i="193"/>
  <c r="O20" i="193" s="1"/>
  <c r="V19" i="193"/>
  <c r="U19" i="193"/>
  <c r="M19" i="193"/>
  <c r="O19" i="193" s="1"/>
  <c r="G27" i="193" s="1"/>
  <c r="C19" i="193"/>
  <c r="C20" i="193" s="1"/>
  <c r="M33" i="192"/>
  <c r="D33" i="192"/>
  <c r="L32" i="192"/>
  <c r="K32" i="192"/>
  <c r="J32" i="192"/>
  <c r="I32" i="192"/>
  <c r="H32" i="192"/>
  <c r="G32" i="192"/>
  <c r="D32" i="192"/>
  <c r="N28" i="192"/>
  <c r="N30" i="192" s="1"/>
  <c r="F14" i="192" s="1"/>
  <c r="V27" i="192"/>
  <c r="U27" i="192"/>
  <c r="M27" i="192"/>
  <c r="O27" i="192" s="1"/>
  <c r="V26" i="192"/>
  <c r="U26" i="192"/>
  <c r="M26" i="192"/>
  <c r="O26" i="192" s="1"/>
  <c r="V25" i="192"/>
  <c r="U25" i="192"/>
  <c r="M25" i="192"/>
  <c r="O25" i="192" s="1"/>
  <c r="V24" i="192"/>
  <c r="U24" i="192"/>
  <c r="M24" i="192"/>
  <c r="O24" i="192" s="1"/>
  <c r="L34" i="192" s="1"/>
  <c r="V23" i="192"/>
  <c r="U23" i="192"/>
  <c r="M23" i="192"/>
  <c r="O23" i="192" s="1"/>
  <c r="K34" i="192" s="1"/>
  <c r="V22" i="192"/>
  <c r="U22" i="192"/>
  <c r="M22" i="192"/>
  <c r="O22" i="192" s="1"/>
  <c r="J34" i="192" s="1"/>
  <c r="V21" i="192"/>
  <c r="U21" i="192"/>
  <c r="M21" i="192"/>
  <c r="O21" i="192" s="1"/>
  <c r="I34" i="192" s="1"/>
  <c r="V20" i="192"/>
  <c r="U20" i="192"/>
  <c r="M20" i="192"/>
  <c r="O20" i="192" s="1"/>
  <c r="H34" i="192" s="1"/>
  <c r="V19" i="192"/>
  <c r="U19" i="192"/>
  <c r="M19" i="192"/>
  <c r="O19" i="192" s="1"/>
  <c r="C19" i="192"/>
  <c r="C20" i="192" s="1"/>
  <c r="F20" i="31"/>
  <c r="M32" i="191"/>
  <c r="D32" i="191"/>
  <c r="L31" i="191"/>
  <c r="K31" i="191"/>
  <c r="J31" i="191"/>
  <c r="I31" i="191"/>
  <c r="H31" i="191"/>
  <c r="G31" i="191"/>
  <c r="D31" i="191"/>
  <c r="N27" i="191"/>
  <c r="N29" i="191" s="1"/>
  <c r="F14" i="191" s="1"/>
  <c r="V26" i="191"/>
  <c r="U26" i="191"/>
  <c r="M26" i="191"/>
  <c r="O26" i="191" s="1"/>
  <c r="V25" i="191"/>
  <c r="U25" i="191"/>
  <c r="M25" i="191"/>
  <c r="O25" i="191" s="1"/>
  <c r="V24" i="191"/>
  <c r="U24" i="191"/>
  <c r="M24" i="191"/>
  <c r="O24" i="191" s="1"/>
  <c r="L33" i="191" s="1"/>
  <c r="V23" i="191"/>
  <c r="U23" i="191"/>
  <c r="M23" i="191"/>
  <c r="O23" i="191" s="1"/>
  <c r="K33" i="191" s="1"/>
  <c r="V22" i="191"/>
  <c r="U22" i="191"/>
  <c r="M22" i="191"/>
  <c r="O22" i="191" s="1"/>
  <c r="J33" i="191" s="1"/>
  <c r="V21" i="191"/>
  <c r="U21" i="191"/>
  <c r="M21" i="191"/>
  <c r="O21" i="191" s="1"/>
  <c r="I33" i="191" s="1"/>
  <c r="V20" i="191"/>
  <c r="U20" i="191"/>
  <c r="M20" i="191"/>
  <c r="O20" i="191" s="1"/>
  <c r="H33" i="191" s="1"/>
  <c r="V19" i="191"/>
  <c r="U19" i="191"/>
  <c r="M19" i="191"/>
  <c r="O19" i="191" s="1"/>
  <c r="C19" i="191"/>
  <c r="C20" i="191" s="1"/>
  <c r="M31" i="190"/>
  <c r="D31" i="190"/>
  <c r="L30" i="190"/>
  <c r="K30" i="190"/>
  <c r="J30" i="190"/>
  <c r="I30" i="190"/>
  <c r="H30" i="190"/>
  <c r="G30" i="190"/>
  <c r="D30" i="190"/>
  <c r="N26" i="190"/>
  <c r="N28" i="190" s="1"/>
  <c r="F14" i="190" s="1"/>
  <c r="V25" i="190"/>
  <c r="U25" i="190"/>
  <c r="M25" i="190"/>
  <c r="O25" i="190" s="1"/>
  <c r="V24" i="190"/>
  <c r="U24" i="190"/>
  <c r="M24" i="190"/>
  <c r="O24" i="190" s="1"/>
  <c r="V23" i="190"/>
  <c r="U23" i="190"/>
  <c r="M23" i="190"/>
  <c r="O23" i="190" s="1"/>
  <c r="V22" i="190"/>
  <c r="U22" i="190"/>
  <c r="M22" i="190"/>
  <c r="O22" i="190" s="1"/>
  <c r="J26" i="190" s="1"/>
  <c r="V21" i="190"/>
  <c r="U21" i="190"/>
  <c r="M21" i="190"/>
  <c r="O21" i="190" s="1"/>
  <c r="V20" i="190"/>
  <c r="U20" i="190"/>
  <c r="M20" i="190"/>
  <c r="O20" i="190" s="1"/>
  <c r="H26" i="190" s="1"/>
  <c r="V19" i="190"/>
  <c r="U19" i="190"/>
  <c r="M19" i="190"/>
  <c r="O19" i="190" s="1"/>
  <c r="G26" i="190" s="1"/>
  <c r="C19" i="190"/>
  <c r="C20" i="190" s="1"/>
  <c r="L33" i="189"/>
  <c r="M32" i="189"/>
  <c r="D32" i="189"/>
  <c r="L31" i="189"/>
  <c r="K31" i="189"/>
  <c r="J31" i="189"/>
  <c r="I31" i="189"/>
  <c r="H31" i="189"/>
  <c r="G31" i="189"/>
  <c r="D31" i="189"/>
  <c r="N27" i="189"/>
  <c r="N29" i="189" s="1"/>
  <c r="F14" i="189" s="1"/>
  <c r="V26" i="189"/>
  <c r="U26" i="189"/>
  <c r="M26" i="189"/>
  <c r="O26" i="189" s="1"/>
  <c r="V25" i="189"/>
  <c r="U25" i="189"/>
  <c r="M25" i="189"/>
  <c r="O25" i="189" s="1"/>
  <c r="V24" i="189"/>
  <c r="U24" i="189"/>
  <c r="M24" i="189"/>
  <c r="O24" i="189" s="1"/>
  <c r="V23" i="189"/>
  <c r="U23" i="189"/>
  <c r="M23" i="189"/>
  <c r="O23" i="189" s="1"/>
  <c r="V22" i="189"/>
  <c r="U22" i="189"/>
  <c r="M22" i="189"/>
  <c r="O22" i="189" s="1"/>
  <c r="V21" i="189"/>
  <c r="U21" i="189"/>
  <c r="M21" i="189"/>
  <c r="O21" i="189" s="1"/>
  <c r="I27" i="189" s="1"/>
  <c r="V20" i="189"/>
  <c r="U20" i="189"/>
  <c r="M20" i="189"/>
  <c r="O20" i="189" s="1"/>
  <c r="V19" i="189"/>
  <c r="U19" i="189"/>
  <c r="M19" i="189"/>
  <c r="O19" i="189" s="1"/>
  <c r="G27" i="189" s="1"/>
  <c r="C19" i="189"/>
  <c r="A20" i="189" s="1"/>
  <c r="M32" i="188"/>
  <c r="D32" i="188"/>
  <c r="L31" i="188"/>
  <c r="K31" i="188"/>
  <c r="J31" i="188"/>
  <c r="I31" i="188"/>
  <c r="H31" i="188"/>
  <c r="G31" i="188"/>
  <c r="D31" i="188"/>
  <c r="N27" i="188"/>
  <c r="N29" i="188" s="1"/>
  <c r="F14" i="188" s="1"/>
  <c r="V26" i="188"/>
  <c r="U26" i="188"/>
  <c r="M26" i="188"/>
  <c r="O26" i="188" s="1"/>
  <c r="V25" i="188"/>
  <c r="U25" i="188"/>
  <c r="M25" i="188"/>
  <c r="O25" i="188" s="1"/>
  <c r="V24" i="188"/>
  <c r="U24" i="188"/>
  <c r="M24" i="188"/>
  <c r="O24" i="188" s="1"/>
  <c r="L33" i="188" s="1"/>
  <c r="V23" i="188"/>
  <c r="U23" i="188"/>
  <c r="M23" i="188"/>
  <c r="O23" i="188" s="1"/>
  <c r="V22" i="188"/>
  <c r="U22" i="188"/>
  <c r="M22" i="188"/>
  <c r="O22" i="188" s="1"/>
  <c r="V21" i="188"/>
  <c r="U21" i="188"/>
  <c r="M21" i="188"/>
  <c r="O21" i="188" s="1"/>
  <c r="V20" i="188"/>
  <c r="U20" i="188"/>
  <c r="M20" i="188"/>
  <c r="O20" i="188" s="1"/>
  <c r="V19" i="188"/>
  <c r="U19" i="188"/>
  <c r="M19" i="188"/>
  <c r="O19" i="188" s="1"/>
  <c r="C19" i="188"/>
  <c r="C20" i="188" s="1"/>
  <c r="H27" i="189" l="1"/>
  <c r="H33" i="189" s="1"/>
  <c r="K27" i="189"/>
  <c r="K33" i="189" s="1"/>
  <c r="J27" i="189"/>
  <c r="J33" i="189" s="1"/>
  <c r="F18" i="31"/>
  <c r="I33" i="189"/>
  <c r="K32" i="190"/>
  <c r="K26" i="190"/>
  <c r="I26" i="190"/>
  <c r="I32" i="190" s="1"/>
  <c r="F19" i="31"/>
  <c r="J32" i="190"/>
  <c r="H32" i="190"/>
  <c r="I34" i="198"/>
  <c r="I28" i="198"/>
  <c r="J28" i="198"/>
  <c r="J34" i="198" s="1"/>
  <c r="G34" i="198"/>
  <c r="F28" i="31"/>
  <c r="H34" i="198"/>
  <c r="J32" i="203"/>
  <c r="N28" i="203"/>
  <c r="F14" i="203" s="1"/>
  <c r="F33" i="31"/>
  <c r="K32" i="203"/>
  <c r="V26" i="206"/>
  <c r="V28" i="206" s="1"/>
  <c r="I26" i="206"/>
  <c r="I32" i="206" s="1"/>
  <c r="H32" i="206"/>
  <c r="H26" i="206"/>
  <c r="K26" i="206"/>
  <c r="K32" i="206" s="1"/>
  <c r="N28" i="206"/>
  <c r="F14" i="206" s="1"/>
  <c r="F36" i="31"/>
  <c r="I33" i="195"/>
  <c r="F24" i="31"/>
  <c r="K33" i="195"/>
  <c r="J33" i="195"/>
  <c r="L33" i="195"/>
  <c r="H33" i="195"/>
  <c r="N27" i="205"/>
  <c r="F14" i="205" s="1"/>
  <c r="F35" i="31"/>
  <c r="H25" i="205"/>
  <c r="H31" i="205" s="1"/>
  <c r="K31" i="205"/>
  <c r="J31" i="205"/>
  <c r="I27" i="212"/>
  <c r="I33" i="212" s="1"/>
  <c r="H27" i="212"/>
  <c r="H33" i="212" s="1"/>
  <c r="K27" i="212"/>
  <c r="K33" i="212" s="1"/>
  <c r="N29" i="212"/>
  <c r="F14" i="212" s="1"/>
  <c r="F42" i="31"/>
  <c r="L27" i="193"/>
  <c r="L33" i="193" s="1"/>
  <c r="H27" i="193"/>
  <c r="H33" i="193" s="1"/>
  <c r="J33" i="193"/>
  <c r="J27" i="193"/>
  <c r="I27" i="193"/>
  <c r="I33" i="193" s="1"/>
  <c r="F22" i="31"/>
  <c r="H33" i="209"/>
  <c r="J33" i="209"/>
  <c r="N29" i="209"/>
  <c r="F14" i="209" s="1"/>
  <c r="F39" i="31"/>
  <c r="M33" i="214"/>
  <c r="E44" i="31" s="1"/>
  <c r="M32" i="216"/>
  <c r="F21" i="31"/>
  <c r="H32" i="210"/>
  <c r="N28" i="210"/>
  <c r="F14" i="210" s="1"/>
  <c r="F40" i="31"/>
  <c r="K32" i="210"/>
  <c r="J32" i="210"/>
  <c r="J31" i="211"/>
  <c r="J25" i="211"/>
  <c r="I25" i="211"/>
  <c r="I31" i="211" s="1"/>
  <c r="H25" i="211"/>
  <c r="H31" i="211" s="1"/>
  <c r="N27" i="211"/>
  <c r="F14" i="211" s="1"/>
  <c r="F41" i="31"/>
  <c r="I26" i="207"/>
  <c r="I32" i="207" s="1"/>
  <c r="U26" i="207"/>
  <c r="U28" i="207" s="1"/>
  <c r="G32" i="207"/>
  <c r="H32" i="207"/>
  <c r="N28" i="207"/>
  <c r="F14" i="207" s="1"/>
  <c r="F37" i="31"/>
  <c r="J32" i="207"/>
  <c r="F23" i="31"/>
  <c r="N29" i="208"/>
  <c r="F14" i="208" s="1"/>
  <c r="F38" i="31"/>
  <c r="H27" i="208"/>
  <c r="H33" i="208" s="1"/>
  <c r="K27" i="208"/>
  <c r="K33" i="208" s="1"/>
  <c r="I27" i="208"/>
  <c r="I33" i="208" s="1"/>
  <c r="J33" i="208"/>
  <c r="M32" i="217"/>
  <c r="E47" i="31" s="1"/>
  <c r="K25" i="213"/>
  <c r="K31" i="213" s="1"/>
  <c r="H25" i="213"/>
  <c r="H31" i="213" s="1"/>
  <c r="N27" i="213"/>
  <c r="F14" i="213" s="1"/>
  <c r="F43" i="31"/>
  <c r="J25" i="213"/>
  <c r="J31" i="213" s="1"/>
  <c r="F17" i="31"/>
  <c r="J33" i="188"/>
  <c r="H33" i="188"/>
  <c r="I26" i="200"/>
  <c r="I32" i="200" s="1"/>
  <c r="H26" i="200"/>
  <c r="H32" i="200" s="1"/>
  <c r="F30" i="31"/>
  <c r="J32" i="200"/>
  <c r="F31" i="31"/>
  <c r="H26" i="201"/>
  <c r="H32" i="201" s="1"/>
  <c r="K26" i="201"/>
  <c r="K32" i="201" s="1"/>
  <c r="I32" i="201"/>
  <c r="I26" i="201"/>
  <c r="J32" i="201"/>
  <c r="K32" i="204"/>
  <c r="N28" i="204"/>
  <c r="F14" i="204" s="1"/>
  <c r="F34" i="31"/>
  <c r="H26" i="204"/>
  <c r="H32" i="204" s="1"/>
  <c r="K31" i="196"/>
  <c r="I31" i="196"/>
  <c r="H31" i="196"/>
  <c r="F26" i="31"/>
  <c r="J31" i="196"/>
  <c r="M33" i="215"/>
  <c r="F12" i="215" s="1"/>
  <c r="F13" i="215" s="1"/>
  <c r="H31" i="197"/>
  <c r="J31" i="197"/>
  <c r="F32" i="31"/>
  <c r="V26" i="202"/>
  <c r="V28" i="202" s="1"/>
  <c r="I26" i="202"/>
  <c r="I32" i="202" s="1"/>
  <c r="K26" i="202"/>
  <c r="K32" i="202" s="1"/>
  <c r="H26" i="202"/>
  <c r="H32" i="202" s="1"/>
  <c r="J32" i="202"/>
  <c r="I26" i="199"/>
  <c r="I32" i="199" s="1"/>
  <c r="H26" i="199"/>
  <c r="H32" i="199" s="1"/>
  <c r="F29" i="31"/>
  <c r="K32" i="199"/>
  <c r="J32" i="199"/>
  <c r="V27" i="194"/>
  <c r="V29" i="194" s="1"/>
  <c r="U27" i="194"/>
  <c r="U29" i="194" s="1"/>
  <c r="V26" i="199"/>
  <c r="V28" i="199" s="1"/>
  <c r="I31" i="197"/>
  <c r="F27" i="31"/>
  <c r="C22" i="217"/>
  <c r="A22" i="217"/>
  <c r="C22" i="216"/>
  <c r="A22" i="216"/>
  <c r="C22" i="215"/>
  <c r="A22" i="215"/>
  <c r="C22" i="214"/>
  <c r="A22" i="214"/>
  <c r="V25" i="213"/>
  <c r="V27" i="213" s="1"/>
  <c r="U25" i="213"/>
  <c r="U27" i="213" s="1"/>
  <c r="V27" i="212"/>
  <c r="V29" i="212" s="1"/>
  <c r="U27" i="212"/>
  <c r="U29" i="212" s="1"/>
  <c r="A20" i="212"/>
  <c r="P27" i="212"/>
  <c r="P29" i="212" s="1"/>
  <c r="U25" i="211"/>
  <c r="U27" i="211" s="1"/>
  <c r="V25" i="211"/>
  <c r="V27" i="211" s="1"/>
  <c r="P25" i="211"/>
  <c r="P27" i="211" s="1"/>
  <c r="U26" i="210"/>
  <c r="U28" i="210" s="1"/>
  <c r="P26" i="210"/>
  <c r="P28" i="210" s="1"/>
  <c r="V26" i="210"/>
  <c r="V28" i="210" s="1"/>
  <c r="V27" i="209"/>
  <c r="V29" i="209" s="1"/>
  <c r="U27" i="209"/>
  <c r="U29" i="209" s="1"/>
  <c r="P27" i="209"/>
  <c r="P29" i="209" s="1"/>
  <c r="V27" i="208"/>
  <c r="V29" i="208" s="1"/>
  <c r="U27" i="208"/>
  <c r="U29" i="208" s="1"/>
  <c r="A20" i="208"/>
  <c r="P27" i="208"/>
  <c r="P29" i="208" s="1"/>
  <c r="V26" i="207"/>
  <c r="V28" i="207" s="1"/>
  <c r="P26" i="207"/>
  <c r="P28" i="207" s="1"/>
  <c r="U26" i="206"/>
  <c r="U28" i="206" s="1"/>
  <c r="P26" i="206"/>
  <c r="P28" i="206" s="1"/>
  <c r="A20" i="206"/>
  <c r="V25" i="205"/>
  <c r="V27" i="205" s="1"/>
  <c r="U25" i="205"/>
  <c r="U27" i="205" s="1"/>
  <c r="A20" i="205"/>
  <c r="P25" i="205"/>
  <c r="P27" i="205" s="1"/>
  <c r="U26" i="204"/>
  <c r="U28" i="204" s="1"/>
  <c r="V26" i="204"/>
  <c r="V28" i="204" s="1"/>
  <c r="A20" i="204"/>
  <c r="P26" i="204"/>
  <c r="P28" i="204" s="1"/>
  <c r="A20" i="203"/>
  <c r="P26" i="203"/>
  <c r="P28" i="203" s="1"/>
  <c r="A21" i="213"/>
  <c r="C21" i="213"/>
  <c r="O25" i="213"/>
  <c r="O27" i="213" s="1"/>
  <c r="G31" i="213"/>
  <c r="A20" i="213"/>
  <c r="A21" i="212"/>
  <c r="C21" i="212"/>
  <c r="O27" i="212"/>
  <c r="O29" i="212" s="1"/>
  <c r="G33" i="212"/>
  <c r="C21" i="211"/>
  <c r="A21" i="211"/>
  <c r="O25" i="211"/>
  <c r="O27" i="211" s="1"/>
  <c r="G31" i="211"/>
  <c r="A20" i="211"/>
  <c r="O26" i="210"/>
  <c r="O28" i="210" s="1"/>
  <c r="G32" i="210"/>
  <c r="A21" i="210"/>
  <c r="C21" i="210"/>
  <c r="A20" i="210"/>
  <c r="C21" i="209"/>
  <c r="A21" i="209"/>
  <c r="O27" i="209"/>
  <c r="O29" i="209" s="1"/>
  <c r="G33" i="209"/>
  <c r="A20" i="209"/>
  <c r="C21" i="208"/>
  <c r="A21" i="208"/>
  <c r="O27" i="208"/>
  <c r="O29" i="208" s="1"/>
  <c r="G33" i="208"/>
  <c r="O26" i="207"/>
  <c r="O28" i="207" s="1"/>
  <c r="C21" i="207"/>
  <c r="A21" i="207"/>
  <c r="A20" i="207"/>
  <c r="C21" i="206"/>
  <c r="A21" i="206"/>
  <c r="O26" i="206"/>
  <c r="O28" i="206" s="1"/>
  <c r="G32" i="206"/>
  <c r="C21" i="205"/>
  <c r="A21" i="205"/>
  <c r="O25" i="205"/>
  <c r="O27" i="205" s="1"/>
  <c r="G31" i="205"/>
  <c r="C21" i="204"/>
  <c r="A21" i="204"/>
  <c r="O26" i="204"/>
  <c r="O28" i="204" s="1"/>
  <c r="G32" i="204"/>
  <c r="A21" i="203"/>
  <c r="C21" i="203"/>
  <c r="O26" i="203"/>
  <c r="O28" i="203" s="1"/>
  <c r="G32" i="203"/>
  <c r="U26" i="202"/>
  <c r="U28" i="202" s="1"/>
  <c r="P26" i="202"/>
  <c r="P28" i="202" s="1"/>
  <c r="C21" i="202"/>
  <c r="A21" i="202"/>
  <c r="O26" i="202"/>
  <c r="O28" i="202" s="1"/>
  <c r="G32" i="202"/>
  <c r="A20" i="202"/>
  <c r="U26" i="201"/>
  <c r="U28" i="201" s="1"/>
  <c r="N28" i="201"/>
  <c r="F14" i="201" s="1"/>
  <c r="V26" i="201"/>
  <c r="V28" i="201" s="1"/>
  <c r="O26" i="201"/>
  <c r="O28" i="201" s="1"/>
  <c r="G32" i="201"/>
  <c r="C21" i="201"/>
  <c r="A21" i="201"/>
  <c r="A20" i="201"/>
  <c r="K32" i="200"/>
  <c r="V26" i="200"/>
  <c r="V28" i="200" s="1"/>
  <c r="U26" i="200"/>
  <c r="U28" i="200" s="1"/>
  <c r="P26" i="200"/>
  <c r="P28" i="200" s="1"/>
  <c r="A20" i="200"/>
  <c r="A21" i="200"/>
  <c r="C21" i="200"/>
  <c r="O26" i="200"/>
  <c r="O28" i="200" s="1"/>
  <c r="G32" i="200"/>
  <c r="U26" i="199"/>
  <c r="U28" i="199" s="1"/>
  <c r="P26" i="199"/>
  <c r="P28" i="199" s="1"/>
  <c r="O26" i="199"/>
  <c r="O28" i="199" s="1"/>
  <c r="G32" i="199"/>
  <c r="C21" i="199"/>
  <c r="A21" i="199"/>
  <c r="A20" i="199"/>
  <c r="K34" i="198"/>
  <c r="V28" i="198"/>
  <c r="V30" i="198" s="1"/>
  <c r="P28" i="198"/>
  <c r="P30" i="198" s="1"/>
  <c r="U28" i="198"/>
  <c r="U30" i="198" s="1"/>
  <c r="C20" i="198"/>
  <c r="O28" i="198"/>
  <c r="O30" i="198" s="1"/>
  <c r="V25" i="197"/>
  <c r="V27" i="197" s="1"/>
  <c r="P25" i="197"/>
  <c r="P27" i="197" s="1"/>
  <c r="U25" i="197"/>
  <c r="U27" i="197" s="1"/>
  <c r="O25" i="197"/>
  <c r="O27" i="197" s="1"/>
  <c r="G31" i="197"/>
  <c r="C21" i="197"/>
  <c r="A21" i="197"/>
  <c r="A20" i="197"/>
  <c r="N27" i="196"/>
  <c r="F14" i="196" s="1"/>
  <c r="U25" i="196"/>
  <c r="U27" i="196" s="1"/>
  <c r="V25" i="196"/>
  <c r="V27" i="196" s="1"/>
  <c r="C21" i="196"/>
  <c r="A21" i="196"/>
  <c r="O25" i="196"/>
  <c r="O27" i="196" s="1"/>
  <c r="G31" i="196"/>
  <c r="A20" i="196"/>
  <c r="V27" i="195"/>
  <c r="V29" i="195" s="1"/>
  <c r="U27" i="195"/>
  <c r="U29" i="195" s="1"/>
  <c r="P27" i="195"/>
  <c r="P29" i="195" s="1"/>
  <c r="C21" i="195"/>
  <c r="A21" i="195"/>
  <c r="O27" i="195"/>
  <c r="O29" i="195" s="1"/>
  <c r="G33" i="195"/>
  <c r="A20" i="195"/>
  <c r="A20" i="194"/>
  <c r="P27" i="194"/>
  <c r="P29" i="194" s="1"/>
  <c r="A21" i="194"/>
  <c r="C21" i="194"/>
  <c r="O27" i="194"/>
  <c r="O29" i="194" s="1"/>
  <c r="G27" i="194"/>
  <c r="G33" i="194" s="1"/>
  <c r="M33" i="194" s="1"/>
  <c r="U27" i="193"/>
  <c r="U29" i="193" s="1"/>
  <c r="V27" i="193"/>
  <c r="V29" i="193" s="1"/>
  <c r="P27" i="193"/>
  <c r="P29" i="193" s="1"/>
  <c r="C21" i="193"/>
  <c r="A21" i="193"/>
  <c r="O27" i="193"/>
  <c r="O29" i="193" s="1"/>
  <c r="G33" i="193"/>
  <c r="A20" i="193"/>
  <c r="U28" i="192"/>
  <c r="U30" i="192" s="1"/>
  <c r="V28" i="192"/>
  <c r="V30" i="192" s="1"/>
  <c r="P28" i="192"/>
  <c r="P30" i="192" s="1"/>
  <c r="O28" i="192"/>
  <c r="O30" i="192" s="1"/>
  <c r="G34" i="192"/>
  <c r="M34" i="192" s="1"/>
  <c r="C21" i="192"/>
  <c r="A21" i="192"/>
  <c r="A20" i="192"/>
  <c r="V27" i="191"/>
  <c r="V29" i="191" s="1"/>
  <c r="U27" i="191"/>
  <c r="U29" i="191" s="1"/>
  <c r="A20" i="191"/>
  <c r="C21" i="191"/>
  <c r="A21" i="191"/>
  <c r="O27" i="191"/>
  <c r="O29" i="191" s="1"/>
  <c r="G33" i="191"/>
  <c r="M33" i="191" s="1"/>
  <c r="P27" i="191"/>
  <c r="P29" i="191" s="1"/>
  <c r="V26" i="190"/>
  <c r="V28" i="190" s="1"/>
  <c r="P26" i="190"/>
  <c r="P28" i="190" s="1"/>
  <c r="U26" i="190"/>
  <c r="U28" i="190" s="1"/>
  <c r="A20" i="190"/>
  <c r="C21" i="190"/>
  <c r="A21" i="190"/>
  <c r="O26" i="190"/>
  <c r="O28" i="190" s="1"/>
  <c r="G32" i="190"/>
  <c r="V27" i="189"/>
  <c r="V29" i="189" s="1"/>
  <c r="P27" i="189"/>
  <c r="P29" i="189" s="1"/>
  <c r="O27" i="189"/>
  <c r="O29" i="189" s="1"/>
  <c r="U27" i="189"/>
  <c r="U29" i="189" s="1"/>
  <c r="C20" i="189"/>
  <c r="C21" i="189" s="1"/>
  <c r="C22" i="189" s="1"/>
  <c r="G33" i="189"/>
  <c r="K33" i="188"/>
  <c r="I33" i="188"/>
  <c r="V27" i="188"/>
  <c r="V29" i="188" s="1"/>
  <c r="U27" i="188"/>
  <c r="U29" i="188" s="1"/>
  <c r="A20" i="188"/>
  <c r="C21" i="188"/>
  <c r="A21" i="188"/>
  <c r="O27" i="188"/>
  <c r="O29" i="188" s="1"/>
  <c r="G33" i="188"/>
  <c r="P27" i="188"/>
  <c r="P29" i="188" s="1"/>
  <c r="A22" i="189" l="1"/>
  <c r="M33" i="189"/>
  <c r="F12" i="189" s="1"/>
  <c r="F13" i="189" s="1"/>
  <c r="M32" i="190"/>
  <c r="F12" i="190" s="1"/>
  <c r="F13" i="190" s="1"/>
  <c r="M34" i="198"/>
  <c r="F12" i="198" s="1"/>
  <c r="F13" i="198" s="1"/>
  <c r="M32" i="203"/>
  <c r="F12" i="203" s="1"/>
  <c r="F13" i="203" s="1"/>
  <c r="M32" i="206"/>
  <c r="F12" i="206" s="1"/>
  <c r="F13" i="206" s="1"/>
  <c r="M33" i="195"/>
  <c r="E24" i="31" s="1"/>
  <c r="M31" i="205"/>
  <c r="F12" i="205" s="1"/>
  <c r="F13" i="205" s="1"/>
  <c r="M33" i="212"/>
  <c r="F12" i="212" s="1"/>
  <c r="F13" i="212" s="1"/>
  <c r="F12" i="191"/>
  <c r="F13" i="191" s="1"/>
  <c r="E20" i="31"/>
  <c r="M33" i="193"/>
  <c r="F12" i="193" s="1"/>
  <c r="F13" i="193" s="1"/>
  <c r="E22" i="31"/>
  <c r="M33" i="209"/>
  <c r="E39" i="31" s="1"/>
  <c r="F12" i="214"/>
  <c r="F13" i="214" s="1"/>
  <c r="F12" i="216"/>
  <c r="F13" i="216" s="1"/>
  <c r="E46" i="31"/>
  <c r="F12" i="192"/>
  <c r="F13" i="192" s="1"/>
  <c r="E21" i="31"/>
  <c r="M32" i="210"/>
  <c r="M31" i="211"/>
  <c r="F12" i="211" s="1"/>
  <c r="F13" i="211" s="1"/>
  <c r="M32" i="207"/>
  <c r="F12" i="207" s="1"/>
  <c r="F13" i="207" s="1"/>
  <c r="F12" i="194"/>
  <c r="F13" i="194" s="1"/>
  <c r="E23" i="31"/>
  <c r="M33" i="208"/>
  <c r="F12" i="217"/>
  <c r="F13" i="217" s="1"/>
  <c r="M31" i="213"/>
  <c r="F12" i="213" s="1"/>
  <c r="F13" i="213" s="1"/>
  <c r="M32" i="200"/>
  <c r="M32" i="201"/>
  <c r="M32" i="204"/>
  <c r="M31" i="196"/>
  <c r="F12" i="196" s="1"/>
  <c r="F13" i="196" s="1"/>
  <c r="E45" i="31"/>
  <c r="M31" i="197"/>
  <c r="F12" i="197" s="1"/>
  <c r="F13" i="197" s="1"/>
  <c r="M32" i="202"/>
  <c r="E32" i="31" s="1"/>
  <c r="M32" i="199"/>
  <c r="F12" i="199" s="1"/>
  <c r="F13" i="199" s="1"/>
  <c r="A23" i="217"/>
  <c r="C23" i="217"/>
  <c r="C23" i="216"/>
  <c r="A23" i="216"/>
  <c r="A23" i="215"/>
  <c r="C23" i="215"/>
  <c r="C23" i="214"/>
  <c r="A23" i="214"/>
  <c r="C22" i="213"/>
  <c r="A22" i="213"/>
  <c r="C22" i="212"/>
  <c r="A22" i="212"/>
  <c r="C22" i="211"/>
  <c r="A22" i="211"/>
  <c r="C22" i="210"/>
  <c r="A22" i="210"/>
  <c r="C22" i="209"/>
  <c r="A22" i="209"/>
  <c r="C22" i="208"/>
  <c r="A22" i="208"/>
  <c r="C22" i="207"/>
  <c r="A22" i="207"/>
  <c r="C22" i="206"/>
  <c r="A22" i="206"/>
  <c r="C22" i="205"/>
  <c r="A22" i="205"/>
  <c r="C22" i="204"/>
  <c r="A22" i="204"/>
  <c r="C22" i="203"/>
  <c r="A22" i="203"/>
  <c r="C22" i="202"/>
  <c r="A22" i="202"/>
  <c r="C22" i="201"/>
  <c r="A22" i="201"/>
  <c r="C22" i="200"/>
  <c r="A22" i="200"/>
  <c r="C22" i="199"/>
  <c r="A22" i="199"/>
  <c r="C21" i="198"/>
  <c r="A21" i="198"/>
  <c r="C22" i="197"/>
  <c r="A22" i="197"/>
  <c r="C22" i="196"/>
  <c r="A22" i="196"/>
  <c r="C22" i="195"/>
  <c r="A22" i="195"/>
  <c r="C22" i="194"/>
  <c r="A22" i="194"/>
  <c r="C22" i="193"/>
  <c r="A22" i="193"/>
  <c r="C22" i="192"/>
  <c r="A22" i="192"/>
  <c r="C22" i="191"/>
  <c r="A22" i="191"/>
  <c r="C22" i="190"/>
  <c r="A22" i="190"/>
  <c r="A21" i="189"/>
  <c r="C23" i="189"/>
  <c r="A23" i="189"/>
  <c r="M33" i="188"/>
  <c r="C22" i="188"/>
  <c r="A22" i="188"/>
  <c r="E18" i="31" l="1"/>
  <c r="E19" i="31"/>
  <c r="E28" i="31"/>
  <c r="E33" i="31"/>
  <c r="E36" i="31"/>
  <c r="F12" i="195"/>
  <c r="F13" i="195" s="1"/>
  <c r="E35" i="31"/>
  <c r="E42" i="31"/>
  <c r="F12" i="209"/>
  <c r="F13" i="209" s="1"/>
  <c r="F12" i="210"/>
  <c r="F13" i="210" s="1"/>
  <c r="E40" i="31"/>
  <c r="E41" i="31"/>
  <c r="E37" i="31"/>
  <c r="F12" i="208"/>
  <c r="F13" i="208" s="1"/>
  <c r="E38" i="31"/>
  <c r="E43" i="31"/>
  <c r="F12" i="188"/>
  <c r="F13" i="188" s="1"/>
  <c r="E17" i="31"/>
  <c r="F12" i="200"/>
  <c r="F13" i="200" s="1"/>
  <c r="E30" i="31"/>
  <c r="F12" i="201"/>
  <c r="F13" i="201" s="1"/>
  <c r="E31" i="31"/>
  <c r="F12" i="204"/>
  <c r="F13" i="204" s="1"/>
  <c r="E34" i="31"/>
  <c r="E26" i="31"/>
  <c r="E27" i="31"/>
  <c r="F12" i="202"/>
  <c r="F13" i="202" s="1"/>
  <c r="E29" i="31"/>
  <c r="C24" i="217"/>
  <c r="A24" i="217"/>
  <c r="C24" i="216"/>
  <c r="A24" i="216"/>
  <c r="C24" i="215"/>
  <c r="A24" i="215"/>
  <c r="C24" i="214"/>
  <c r="A24" i="214"/>
  <c r="C23" i="213"/>
  <c r="A23" i="213"/>
  <c r="A23" i="212"/>
  <c r="C23" i="212"/>
  <c r="C23" i="211"/>
  <c r="A23" i="211"/>
  <c r="C23" i="210"/>
  <c r="A23" i="210"/>
  <c r="C23" i="209"/>
  <c r="A23" i="209"/>
  <c r="A23" i="208"/>
  <c r="C23" i="208"/>
  <c r="C23" i="207"/>
  <c r="A23" i="207"/>
  <c r="A23" i="206"/>
  <c r="C23" i="206"/>
  <c r="C23" i="205"/>
  <c r="A23" i="205"/>
  <c r="A23" i="204"/>
  <c r="C23" i="204"/>
  <c r="A23" i="203"/>
  <c r="C23" i="203"/>
  <c r="C23" i="202"/>
  <c r="A23" i="202"/>
  <c r="A23" i="201"/>
  <c r="C23" i="201"/>
  <c r="C23" i="200"/>
  <c r="A23" i="200"/>
  <c r="A23" i="199"/>
  <c r="C23" i="199"/>
  <c r="A22" i="198"/>
  <c r="C22" i="198"/>
  <c r="C23" i="197"/>
  <c r="A23" i="197"/>
  <c r="C23" i="196"/>
  <c r="A23" i="196"/>
  <c r="C23" i="195"/>
  <c r="A23" i="195"/>
  <c r="A23" i="194"/>
  <c r="C23" i="194"/>
  <c r="C23" i="193"/>
  <c r="A23" i="193"/>
  <c r="C23" i="192"/>
  <c r="A23" i="192"/>
  <c r="C23" i="191"/>
  <c r="A23" i="191"/>
  <c r="C23" i="190"/>
  <c r="A23" i="190"/>
  <c r="A24" i="189"/>
  <c r="C24" i="189"/>
  <c r="C23" i="188"/>
  <c r="A23" i="188"/>
  <c r="C25" i="217" l="1"/>
  <c r="A25" i="217"/>
  <c r="A25" i="216"/>
  <c r="C25" i="216"/>
  <c r="A25" i="215"/>
  <c r="C25" i="215"/>
  <c r="C25" i="214"/>
  <c r="A25" i="214"/>
  <c r="C24" i="213"/>
  <c r="A24" i="213"/>
  <c r="C24" i="212"/>
  <c r="A24" i="212"/>
  <c r="C24" i="211"/>
  <c r="A24" i="211"/>
  <c r="C24" i="210"/>
  <c r="A24" i="210"/>
  <c r="C24" i="209"/>
  <c r="A24" i="209"/>
  <c r="C24" i="208"/>
  <c r="A24" i="208"/>
  <c r="C24" i="207"/>
  <c r="A24" i="207"/>
  <c r="C24" i="206"/>
  <c r="A24" i="206"/>
  <c r="C24" i="205"/>
  <c r="A24" i="205"/>
  <c r="C24" i="204"/>
  <c r="A24" i="204"/>
  <c r="C24" i="203"/>
  <c r="A24" i="203"/>
  <c r="C24" i="202"/>
  <c r="A24" i="202"/>
  <c r="C24" i="201"/>
  <c r="A24" i="201"/>
  <c r="C24" i="200"/>
  <c r="A24" i="200"/>
  <c r="C24" i="199"/>
  <c r="A24" i="199"/>
  <c r="C23" i="198"/>
  <c r="A23" i="198"/>
  <c r="C24" i="197"/>
  <c r="A24" i="197"/>
  <c r="C24" i="196"/>
  <c r="A24" i="196"/>
  <c r="C24" i="195"/>
  <c r="A24" i="195"/>
  <c r="C24" i="194"/>
  <c r="A24" i="194"/>
  <c r="C24" i="193"/>
  <c r="A24" i="193"/>
  <c r="C24" i="192"/>
  <c r="A24" i="192"/>
  <c r="C24" i="191"/>
  <c r="A24" i="191"/>
  <c r="C24" i="190"/>
  <c r="A24" i="190"/>
  <c r="C25" i="189"/>
  <c r="A25" i="189"/>
  <c r="C24" i="188"/>
  <c r="A24" i="188"/>
  <c r="M31" i="187"/>
  <c r="D31" i="187"/>
  <c r="L30" i="187"/>
  <c r="K30" i="187"/>
  <c r="J30" i="187"/>
  <c r="I30" i="187"/>
  <c r="H30" i="187"/>
  <c r="G30" i="187"/>
  <c r="D30" i="187"/>
  <c r="N26" i="187"/>
  <c r="V25" i="187"/>
  <c r="U25" i="187"/>
  <c r="M25" i="187"/>
  <c r="O25" i="187" s="1"/>
  <c r="V24" i="187"/>
  <c r="U24" i="187"/>
  <c r="M24" i="187"/>
  <c r="O24" i="187" s="1"/>
  <c r="L32" i="187" s="1"/>
  <c r="V23" i="187"/>
  <c r="U23" i="187"/>
  <c r="M23" i="187"/>
  <c r="O23" i="187" s="1"/>
  <c r="V22" i="187"/>
  <c r="U22" i="187"/>
  <c r="M22" i="187"/>
  <c r="O22" i="187" s="1"/>
  <c r="V21" i="187"/>
  <c r="U21" i="187"/>
  <c r="M21" i="187"/>
  <c r="O21" i="187" s="1"/>
  <c r="I32" i="187" s="1"/>
  <c r="V20" i="187"/>
  <c r="U20" i="187"/>
  <c r="M20" i="187"/>
  <c r="O20" i="187" s="1"/>
  <c r="V19" i="187"/>
  <c r="U19" i="187"/>
  <c r="M19" i="187"/>
  <c r="O19" i="187" s="1"/>
  <c r="C19" i="187"/>
  <c r="C20" i="187" s="1"/>
  <c r="M33" i="186"/>
  <c r="D33" i="186"/>
  <c r="L32" i="186"/>
  <c r="K32" i="186"/>
  <c r="J32" i="186"/>
  <c r="I32" i="186"/>
  <c r="H32" i="186"/>
  <c r="G32" i="186"/>
  <c r="D32" i="186"/>
  <c r="N28" i="186"/>
  <c r="V27" i="186"/>
  <c r="U27" i="186"/>
  <c r="M27" i="186"/>
  <c r="O27" i="186" s="1"/>
  <c r="V26" i="186"/>
  <c r="U26" i="186"/>
  <c r="M26" i="186"/>
  <c r="O26" i="186" s="1"/>
  <c r="V25" i="186"/>
  <c r="U25" i="186"/>
  <c r="M25" i="186"/>
  <c r="O25" i="186" s="1"/>
  <c r="V24" i="186"/>
  <c r="U24" i="186"/>
  <c r="M24" i="186"/>
  <c r="O24" i="186" s="1"/>
  <c r="V23" i="186"/>
  <c r="U23" i="186"/>
  <c r="M23" i="186"/>
  <c r="O23" i="186" s="1"/>
  <c r="V22" i="186"/>
  <c r="U22" i="186"/>
  <c r="M22" i="186"/>
  <c r="O22" i="186" s="1"/>
  <c r="J34" i="186" s="1"/>
  <c r="V21" i="186"/>
  <c r="U21" i="186"/>
  <c r="M21" i="186"/>
  <c r="O21" i="186" s="1"/>
  <c r="V20" i="186"/>
  <c r="U20" i="186"/>
  <c r="M20" i="186"/>
  <c r="O20" i="186" s="1"/>
  <c r="V19" i="186"/>
  <c r="U19" i="186"/>
  <c r="M19" i="186"/>
  <c r="O19" i="186" s="1"/>
  <c r="C19" i="186"/>
  <c r="C20" i="186" s="1"/>
  <c r="M31" i="185"/>
  <c r="D31" i="185"/>
  <c r="L30" i="185"/>
  <c r="K30" i="185"/>
  <c r="J30" i="185"/>
  <c r="I30" i="185"/>
  <c r="H30" i="185"/>
  <c r="G30" i="185"/>
  <c r="D30" i="185"/>
  <c r="N26" i="185"/>
  <c r="V25" i="185"/>
  <c r="U25" i="185"/>
  <c r="M25" i="185"/>
  <c r="O25" i="185" s="1"/>
  <c r="V24" i="185"/>
  <c r="U24" i="185"/>
  <c r="M24" i="185"/>
  <c r="O24" i="185" s="1"/>
  <c r="L32" i="185" s="1"/>
  <c r="V23" i="185"/>
  <c r="U23" i="185"/>
  <c r="M23" i="185"/>
  <c r="O23" i="185" s="1"/>
  <c r="K32" i="185" s="1"/>
  <c r="V22" i="185"/>
  <c r="U22" i="185"/>
  <c r="M22" i="185"/>
  <c r="O22" i="185" s="1"/>
  <c r="J32" i="185" s="1"/>
  <c r="V21" i="185"/>
  <c r="U21" i="185"/>
  <c r="M21" i="185"/>
  <c r="O21" i="185" s="1"/>
  <c r="I32" i="185" s="1"/>
  <c r="V20" i="185"/>
  <c r="U20" i="185"/>
  <c r="M20" i="185"/>
  <c r="O20" i="185" s="1"/>
  <c r="H32" i="185" s="1"/>
  <c r="V19" i="185"/>
  <c r="U19" i="185"/>
  <c r="M19" i="185"/>
  <c r="O19" i="185" s="1"/>
  <c r="C19" i="185"/>
  <c r="C20" i="185" s="1"/>
  <c r="J32" i="187" l="1"/>
  <c r="H32" i="187"/>
  <c r="N28" i="187"/>
  <c r="F14" i="187" s="1"/>
  <c r="F16" i="31"/>
  <c r="K32" i="187"/>
  <c r="L34" i="186"/>
  <c r="N30" i="186"/>
  <c r="F14" i="186" s="1"/>
  <c r="F15" i="31"/>
  <c r="H34" i="186"/>
  <c r="K34" i="186"/>
  <c r="I28" i="186"/>
  <c r="I34" i="186" s="1"/>
  <c r="U26" i="185"/>
  <c r="U28" i="185" s="1"/>
  <c r="N28" i="185"/>
  <c r="F14" i="185" s="1"/>
  <c r="F14" i="31"/>
  <c r="U26" i="187"/>
  <c r="U28" i="187" s="1"/>
  <c r="C26" i="215"/>
  <c r="A26" i="215"/>
  <c r="C26" i="214"/>
  <c r="A26" i="214"/>
  <c r="A25" i="212"/>
  <c r="C25" i="212"/>
  <c r="C25" i="210"/>
  <c r="A25" i="210"/>
  <c r="C25" i="209"/>
  <c r="A25" i="209"/>
  <c r="C25" i="208"/>
  <c r="A25" i="208"/>
  <c r="A25" i="207"/>
  <c r="C25" i="207"/>
  <c r="A25" i="206"/>
  <c r="C25" i="206"/>
  <c r="A25" i="204"/>
  <c r="C25" i="204"/>
  <c r="A25" i="203"/>
  <c r="C25" i="203"/>
  <c r="C25" i="202"/>
  <c r="A25" i="202"/>
  <c r="C25" i="201"/>
  <c r="A25" i="201"/>
  <c r="C25" i="200"/>
  <c r="A25" i="200"/>
  <c r="C25" i="199"/>
  <c r="A25" i="199"/>
  <c r="A24" i="198"/>
  <c r="C24" i="198"/>
  <c r="C25" i="195"/>
  <c r="A25" i="195"/>
  <c r="A25" i="194"/>
  <c r="C25" i="194"/>
  <c r="C25" i="193"/>
  <c r="A25" i="193"/>
  <c r="C25" i="192"/>
  <c r="A25" i="192"/>
  <c r="C25" i="191"/>
  <c r="A25" i="191"/>
  <c r="C25" i="190"/>
  <c r="A25" i="190"/>
  <c r="A26" i="189"/>
  <c r="C26" i="189"/>
  <c r="C25" i="188"/>
  <c r="A25" i="188"/>
  <c r="V26" i="187"/>
  <c r="V28" i="187" s="1"/>
  <c r="P26" i="187"/>
  <c r="P28" i="187" s="1"/>
  <c r="A20" i="187"/>
  <c r="A21" i="187"/>
  <c r="C21" i="187"/>
  <c r="O26" i="187"/>
  <c r="O28" i="187" s="1"/>
  <c r="G32" i="187"/>
  <c r="U28" i="186"/>
  <c r="U30" i="186" s="1"/>
  <c r="V28" i="186"/>
  <c r="V30" i="186" s="1"/>
  <c r="P28" i="186"/>
  <c r="P30" i="186" s="1"/>
  <c r="C21" i="186"/>
  <c r="A21" i="186"/>
  <c r="O28" i="186"/>
  <c r="O30" i="186" s="1"/>
  <c r="G34" i="186"/>
  <c r="A20" i="186"/>
  <c r="V26" i="185"/>
  <c r="V28" i="185" s="1"/>
  <c r="A20" i="185"/>
  <c r="P26" i="185"/>
  <c r="P28" i="185" s="1"/>
  <c r="O26" i="185"/>
  <c r="O28" i="185" s="1"/>
  <c r="G26" i="185"/>
  <c r="G32" i="185" s="1"/>
  <c r="M32" i="185" s="1"/>
  <c r="A21" i="185"/>
  <c r="C21" i="185"/>
  <c r="M33" i="184"/>
  <c r="D33" i="184"/>
  <c r="L32" i="184"/>
  <c r="K32" i="184"/>
  <c r="J32" i="184"/>
  <c r="I32" i="184"/>
  <c r="H32" i="184"/>
  <c r="G32" i="184"/>
  <c r="D32" i="184"/>
  <c r="N28" i="184"/>
  <c r="V27" i="184"/>
  <c r="U27" i="184"/>
  <c r="M27" i="184"/>
  <c r="O27" i="184" s="1"/>
  <c r="V26" i="184"/>
  <c r="U26" i="184"/>
  <c r="M26" i="184"/>
  <c r="O26" i="184" s="1"/>
  <c r="V25" i="184"/>
  <c r="U25" i="184"/>
  <c r="M25" i="184"/>
  <c r="O25" i="184" s="1"/>
  <c r="V24" i="184"/>
  <c r="U24" i="184"/>
  <c r="M24" i="184"/>
  <c r="O24" i="184" s="1"/>
  <c r="L34" i="184" s="1"/>
  <c r="V23" i="184"/>
  <c r="U23" i="184"/>
  <c r="M23" i="184"/>
  <c r="O23" i="184" s="1"/>
  <c r="K34" i="184" s="1"/>
  <c r="V22" i="184"/>
  <c r="U22" i="184"/>
  <c r="M22" i="184"/>
  <c r="O22" i="184" s="1"/>
  <c r="J34" i="184" s="1"/>
  <c r="M21" i="184"/>
  <c r="O21" i="184" s="1"/>
  <c r="I34" i="184" s="1"/>
  <c r="M20" i="184"/>
  <c r="O20" i="184" s="1"/>
  <c r="H34" i="184" s="1"/>
  <c r="M19" i="184"/>
  <c r="O19" i="184" s="1"/>
  <c r="C19" i="184"/>
  <c r="C20" i="184" s="1"/>
  <c r="N30" i="184" l="1"/>
  <c r="F14" i="184" s="1"/>
  <c r="F13" i="31"/>
  <c r="M32" i="187"/>
  <c r="M34" i="186"/>
  <c r="F12" i="186" s="1"/>
  <c r="F13" i="186" s="1"/>
  <c r="F12" i="185"/>
  <c r="F13" i="185" s="1"/>
  <c r="E14" i="31"/>
  <c r="C26" i="212"/>
  <c r="A26" i="212"/>
  <c r="C26" i="209"/>
  <c r="A26" i="209"/>
  <c r="C26" i="208"/>
  <c r="A26" i="208"/>
  <c r="C25" i="198"/>
  <c r="A25" i="198"/>
  <c r="C26" i="195"/>
  <c r="A26" i="195"/>
  <c r="C26" i="194"/>
  <c r="A26" i="194"/>
  <c r="C26" i="193"/>
  <c r="A26" i="193"/>
  <c r="C26" i="192"/>
  <c r="A26" i="192"/>
  <c r="C26" i="191"/>
  <c r="A26" i="191"/>
  <c r="C26" i="188"/>
  <c r="A26" i="188"/>
  <c r="F12" i="187"/>
  <c r="F13" i="187" s="1"/>
  <c r="E16" i="31"/>
  <c r="C22" i="187"/>
  <c r="A22" i="187"/>
  <c r="C22" i="186"/>
  <c r="A22" i="186"/>
  <c r="C22" i="185"/>
  <c r="A22" i="185"/>
  <c r="P28" i="184"/>
  <c r="P30" i="184" s="1"/>
  <c r="C21" i="184"/>
  <c r="A21" i="184"/>
  <c r="O28" i="184"/>
  <c r="O30" i="184" s="1"/>
  <c r="G34" i="184"/>
  <c r="M34" i="184" s="1"/>
  <c r="A20" i="184"/>
  <c r="F12" i="184" l="1"/>
  <c r="F13" i="184" s="1"/>
  <c r="E13" i="31"/>
  <c r="E15" i="31"/>
  <c r="A26" i="198"/>
  <c r="C26" i="198"/>
  <c r="A27" i="192"/>
  <c r="C27" i="192"/>
  <c r="A23" i="187"/>
  <c r="C23" i="187"/>
  <c r="C23" i="186"/>
  <c r="A23" i="186"/>
  <c r="C23" i="185"/>
  <c r="A23" i="185"/>
  <c r="C22" i="184"/>
  <c r="A22" i="184"/>
  <c r="A27" i="198" l="1"/>
  <c r="C27" i="198"/>
  <c r="C24" i="187"/>
  <c r="A24" i="187"/>
  <c r="C24" i="186"/>
  <c r="A24" i="186"/>
  <c r="C24" i="185"/>
  <c r="A24" i="185"/>
  <c r="C23" i="184"/>
  <c r="A23" i="184"/>
  <c r="A25" i="187" l="1"/>
  <c r="C25" i="187"/>
  <c r="C25" i="186"/>
  <c r="A25" i="186"/>
  <c r="C25" i="185"/>
  <c r="A25" i="185"/>
  <c r="C24" i="184"/>
  <c r="A24" i="184"/>
  <c r="C26" i="186" l="1"/>
  <c r="A26" i="186"/>
  <c r="C25" i="184"/>
  <c r="A25" i="184"/>
  <c r="C27" i="186" l="1"/>
  <c r="A27" i="186"/>
  <c r="C26" i="184"/>
  <c r="A26" i="184"/>
  <c r="C27" i="184" l="1"/>
  <c r="A27" i="184"/>
  <c r="G13" i="31" l="1"/>
  <c r="G14" i="31"/>
  <c r="G15" i="31"/>
  <c r="G16" i="31"/>
  <c r="G17" i="31"/>
  <c r="G18" i="31"/>
  <c r="G19" i="31"/>
  <c r="G20" i="31"/>
  <c r="G21" i="31"/>
  <c r="G22" i="31"/>
  <c r="G23" i="31"/>
  <c r="G24" i="31"/>
  <c r="G26" i="31"/>
  <c r="G27" i="31"/>
  <c r="G28" i="31"/>
  <c r="G29" i="31"/>
  <c r="G30" i="31"/>
  <c r="G31" i="31"/>
  <c r="G32" i="31"/>
  <c r="G33" i="31"/>
  <c r="G34" i="31"/>
  <c r="G35" i="31"/>
  <c r="G36" i="31"/>
  <c r="G37" i="31"/>
  <c r="G38" i="31"/>
  <c r="G39" i="31"/>
  <c r="G40" i="31"/>
  <c r="G41" i="31"/>
  <c r="G42" i="31"/>
  <c r="G43" i="31"/>
  <c r="G44" i="31"/>
  <c r="G45" i="31"/>
  <c r="G46" i="31"/>
  <c r="G47" i="31"/>
  <c r="G48" i="31"/>
  <c r="P48" i="31" s="1"/>
  <c r="G49" i="31"/>
  <c r="P49" i="31" s="1"/>
  <c r="G50" i="31"/>
  <c r="P50" i="31" s="1"/>
  <c r="G51" i="31"/>
  <c r="P51" i="31" s="1"/>
  <c r="G52" i="31"/>
  <c r="P52" i="31" s="1"/>
  <c r="G53" i="31"/>
  <c r="P53" i="31" s="1"/>
  <c r="G54" i="31"/>
  <c r="P54" i="31" s="1"/>
  <c r="G55" i="31"/>
  <c r="M32" i="183"/>
  <c r="D32" i="183"/>
  <c r="L31" i="183"/>
  <c r="K31" i="183"/>
  <c r="J31" i="183"/>
  <c r="I31" i="183"/>
  <c r="H31" i="183"/>
  <c r="G31" i="183"/>
  <c r="D31" i="183"/>
  <c r="N27" i="183"/>
  <c r="N29" i="183" s="1"/>
  <c r="F14" i="183" s="1"/>
  <c r="V26" i="183"/>
  <c r="U26" i="183"/>
  <c r="M26" i="183"/>
  <c r="O26" i="183" s="1"/>
  <c r="V25" i="183"/>
  <c r="U25" i="183"/>
  <c r="M25" i="183"/>
  <c r="O25" i="183" s="1"/>
  <c r="V24" i="183"/>
  <c r="U24" i="183"/>
  <c r="M24" i="183"/>
  <c r="O24" i="183" s="1"/>
  <c r="V23" i="183"/>
  <c r="U23" i="183"/>
  <c r="M23" i="183"/>
  <c r="O23" i="183" s="1"/>
  <c r="K27" i="183" s="1"/>
  <c r="V22" i="183"/>
  <c r="U22" i="183"/>
  <c r="M22" i="183"/>
  <c r="O22" i="183" s="1"/>
  <c r="V21" i="183"/>
  <c r="U21" i="183"/>
  <c r="M21" i="183"/>
  <c r="O21" i="183" s="1"/>
  <c r="V20" i="183"/>
  <c r="U20" i="183"/>
  <c r="M20" i="183"/>
  <c r="O20" i="183" s="1"/>
  <c r="H27" i="183" s="1"/>
  <c r="V19" i="183"/>
  <c r="U19" i="183"/>
  <c r="M19" i="183"/>
  <c r="O19" i="183" s="1"/>
  <c r="G27" i="183" s="1"/>
  <c r="C19" i="183"/>
  <c r="C20" i="183" s="1"/>
  <c r="M31" i="182"/>
  <c r="D31" i="182"/>
  <c r="L30" i="182"/>
  <c r="K30" i="182"/>
  <c r="J30" i="182"/>
  <c r="I30" i="182"/>
  <c r="H30" i="182"/>
  <c r="G30" i="182"/>
  <c r="D30" i="182"/>
  <c r="N26" i="182"/>
  <c r="N28" i="182" s="1"/>
  <c r="F14" i="182" s="1"/>
  <c r="V25" i="182"/>
  <c r="U25" i="182"/>
  <c r="M25" i="182"/>
  <c r="O25" i="182" s="1"/>
  <c r="V24" i="182"/>
  <c r="U24" i="182"/>
  <c r="M24" i="182"/>
  <c r="O24" i="182" s="1"/>
  <c r="V23" i="182"/>
  <c r="U23" i="182"/>
  <c r="M23" i="182"/>
  <c r="O23" i="182" s="1"/>
  <c r="V22" i="182"/>
  <c r="U22" i="182"/>
  <c r="M22" i="182"/>
  <c r="O22" i="182" s="1"/>
  <c r="V21" i="182"/>
  <c r="U21" i="182"/>
  <c r="M21" i="182"/>
  <c r="O21" i="182" s="1"/>
  <c r="I32" i="182" s="1"/>
  <c r="V20" i="182"/>
  <c r="U20" i="182"/>
  <c r="M20" i="182"/>
  <c r="O20" i="182" s="1"/>
  <c r="V19" i="182"/>
  <c r="U19" i="182"/>
  <c r="M19" i="182"/>
  <c r="O19" i="182" s="1"/>
  <c r="C19" i="182"/>
  <c r="C20" i="182" s="1"/>
  <c r="M32" i="181"/>
  <c r="D32" i="181"/>
  <c r="L31" i="181"/>
  <c r="K31" i="181"/>
  <c r="J31" i="181"/>
  <c r="I31" i="181"/>
  <c r="H31" i="181"/>
  <c r="G31" i="181"/>
  <c r="D31" i="181"/>
  <c r="N27" i="181"/>
  <c r="N29" i="181" s="1"/>
  <c r="F14" i="181" s="1"/>
  <c r="V26" i="181"/>
  <c r="U26" i="181"/>
  <c r="M26" i="181"/>
  <c r="O26" i="181" s="1"/>
  <c r="V25" i="181"/>
  <c r="U25" i="181"/>
  <c r="M25" i="181"/>
  <c r="O25" i="181" s="1"/>
  <c r="V24" i="181"/>
  <c r="U24" i="181"/>
  <c r="M24" i="181"/>
  <c r="O24" i="181" s="1"/>
  <c r="L33" i="181" s="1"/>
  <c r="V23" i="181"/>
  <c r="U23" i="181"/>
  <c r="M23" i="181"/>
  <c r="O23" i="181" s="1"/>
  <c r="V22" i="181"/>
  <c r="U22" i="181"/>
  <c r="M22" i="181"/>
  <c r="O22" i="181" s="1"/>
  <c r="V21" i="181"/>
  <c r="U21" i="181"/>
  <c r="M21" i="181"/>
  <c r="O21" i="181" s="1"/>
  <c r="V20" i="181"/>
  <c r="U20" i="181"/>
  <c r="M20" i="181"/>
  <c r="O20" i="181" s="1"/>
  <c r="V19" i="181"/>
  <c r="U19" i="181"/>
  <c r="M19" i="181"/>
  <c r="O19" i="181" s="1"/>
  <c r="G27" i="181" s="1"/>
  <c r="C19" i="181"/>
  <c r="C20" i="181" s="1"/>
  <c r="J27" i="183" l="1"/>
  <c r="J33" i="183" s="1"/>
  <c r="F12" i="31"/>
  <c r="I27" i="183"/>
  <c r="I33" i="183" s="1"/>
  <c r="L33" i="183"/>
  <c r="L27" i="183"/>
  <c r="H33" i="183"/>
  <c r="I27" i="181"/>
  <c r="I33" i="181" s="1"/>
  <c r="H27" i="181"/>
  <c r="H33" i="181" s="1"/>
  <c r="K27" i="181"/>
  <c r="K33" i="181" s="1"/>
  <c r="J27" i="181"/>
  <c r="J33" i="181" s="1"/>
  <c r="F10" i="31"/>
  <c r="J32" i="182"/>
  <c r="F11" i="31"/>
  <c r="H32" i="182"/>
  <c r="K33" i="183"/>
  <c r="U27" i="183"/>
  <c r="U29" i="183" s="1"/>
  <c r="V27" i="183"/>
  <c r="V29" i="183" s="1"/>
  <c r="A20" i="183"/>
  <c r="P27" i="183"/>
  <c r="P29" i="183" s="1"/>
  <c r="O27" i="183"/>
  <c r="O29" i="183" s="1"/>
  <c r="G33" i="183"/>
  <c r="A21" i="183"/>
  <c r="C21" i="183"/>
  <c r="K32" i="182"/>
  <c r="V26" i="182"/>
  <c r="V28" i="182" s="1"/>
  <c r="U26" i="182"/>
  <c r="U28" i="182" s="1"/>
  <c r="P26" i="182"/>
  <c r="P28" i="182" s="1"/>
  <c r="A20" i="182"/>
  <c r="C21" i="182"/>
  <c r="A21" i="182"/>
  <c r="O26" i="182"/>
  <c r="O28" i="182" s="1"/>
  <c r="V27" i="181"/>
  <c r="V29" i="181" s="1"/>
  <c r="U27" i="181"/>
  <c r="U29" i="181" s="1"/>
  <c r="P27" i="181"/>
  <c r="P29" i="181" s="1"/>
  <c r="A20" i="181"/>
  <c r="A21" i="181"/>
  <c r="C21" i="181"/>
  <c r="O27" i="181"/>
  <c r="O29" i="181" s="1"/>
  <c r="G33" i="181"/>
  <c r="M33" i="181" l="1"/>
  <c r="F12" i="181"/>
  <c r="F13" i="181" s="1"/>
  <c r="E10" i="31"/>
  <c r="M33" i="183"/>
  <c r="C22" i="183"/>
  <c r="A22" i="183"/>
  <c r="C22" i="182"/>
  <c r="A22" i="182"/>
  <c r="C22" i="181"/>
  <c r="A22" i="181"/>
  <c r="F12" i="183" l="1"/>
  <c r="F13" i="183" s="1"/>
  <c r="E12" i="31"/>
  <c r="C23" i="183"/>
  <c r="A23" i="183"/>
  <c r="C23" i="182"/>
  <c r="A23" i="182"/>
  <c r="A23" i="181"/>
  <c r="C23" i="181"/>
  <c r="C24" i="183" l="1"/>
  <c r="A24" i="183"/>
  <c r="C24" i="182"/>
  <c r="A24" i="182"/>
  <c r="C24" i="181"/>
  <c r="A24" i="181"/>
  <c r="C25" i="183" l="1"/>
  <c r="A25" i="183"/>
  <c r="A25" i="182"/>
  <c r="C25" i="182"/>
  <c r="A25" i="181"/>
  <c r="C25" i="181"/>
  <c r="C26" i="183" l="1"/>
  <c r="A26" i="183"/>
  <c r="C26" i="181"/>
  <c r="A26" i="181"/>
  <c r="M32" i="180" l="1"/>
  <c r="D32" i="180"/>
  <c r="L31" i="180"/>
  <c r="K31" i="180"/>
  <c r="J31" i="180"/>
  <c r="I31" i="180"/>
  <c r="H31" i="180"/>
  <c r="G31" i="180"/>
  <c r="D31" i="180"/>
  <c r="N27" i="180"/>
  <c r="V26" i="180"/>
  <c r="U26" i="180"/>
  <c r="M26" i="180"/>
  <c r="O26" i="180" s="1"/>
  <c r="V25" i="180"/>
  <c r="U25" i="180"/>
  <c r="M25" i="180"/>
  <c r="O25" i="180" s="1"/>
  <c r="V24" i="180"/>
  <c r="U24" i="180"/>
  <c r="M24" i="180"/>
  <c r="O24" i="180" s="1"/>
  <c r="V23" i="180"/>
  <c r="U23" i="180"/>
  <c r="M23" i="180"/>
  <c r="O23" i="180" s="1"/>
  <c r="V22" i="180"/>
  <c r="U22" i="180"/>
  <c r="M22" i="180"/>
  <c r="O22" i="180" s="1"/>
  <c r="V21" i="180"/>
  <c r="U21" i="180"/>
  <c r="M21" i="180"/>
  <c r="O21" i="180" s="1"/>
  <c r="I27" i="180" s="1"/>
  <c r="I33" i="180" s="1"/>
  <c r="V20" i="180"/>
  <c r="U20" i="180"/>
  <c r="M20" i="180"/>
  <c r="O20" i="180" s="1"/>
  <c r="V19" i="180"/>
  <c r="U19" i="180"/>
  <c r="M19" i="180"/>
  <c r="O19" i="180" s="1"/>
  <c r="G27" i="180" s="1"/>
  <c r="C19" i="180"/>
  <c r="C20" i="180" s="1"/>
  <c r="H33" i="180" l="1"/>
  <c r="H27" i="180"/>
  <c r="N29" i="180"/>
  <c r="F14" i="180" s="1"/>
  <c r="F9" i="31"/>
  <c r="G9" i="31" s="1"/>
  <c r="J33" i="180"/>
  <c r="J27" i="180"/>
  <c r="K27" i="180"/>
  <c r="K33" i="180" s="1"/>
  <c r="U27" i="180"/>
  <c r="U29" i="180" s="1"/>
  <c r="V27" i="180"/>
  <c r="V29" i="180" s="1"/>
  <c r="A20" i="180"/>
  <c r="P27" i="180"/>
  <c r="P29" i="180" s="1"/>
  <c r="A21" i="180"/>
  <c r="C21" i="180"/>
  <c r="O27" i="180"/>
  <c r="O29" i="180" s="1"/>
  <c r="G33" i="180"/>
  <c r="M33" i="180" l="1"/>
  <c r="E9" i="31" s="1"/>
  <c r="F12" i="180"/>
  <c r="F13" i="180" s="1"/>
  <c r="C22" i="180"/>
  <c r="A22" i="180"/>
  <c r="C23" i="180" l="1"/>
  <c r="A23" i="180"/>
  <c r="C24" i="180" l="1"/>
  <c r="A24" i="180"/>
  <c r="C25" i="180" l="1"/>
  <c r="A25" i="180"/>
  <c r="C26" i="180" l="1"/>
  <c r="A26" i="180"/>
  <c r="H56" i="31" l="1"/>
  <c r="I56" i="31"/>
  <c r="J56" i="31"/>
  <c r="G10" i="31"/>
  <c r="G11" i="31"/>
  <c r="G12" i="31"/>
  <c r="G56" i="31" l="1"/>
  <c r="P56" i="31" s="1"/>
  <c r="F56" i="31"/>
  <c r="O56" i="31" s="1"/>
  <c r="P12" i="31"/>
  <c r="P13" i="31"/>
  <c r="P16" i="31"/>
  <c r="P17" i="31"/>
  <c r="P21" i="31"/>
  <c r="P22" i="31"/>
  <c r="P26" i="31"/>
  <c r="P27" i="31"/>
  <c r="P29" i="31"/>
  <c r="P30" i="31"/>
  <c r="P34" i="31"/>
  <c r="P36" i="31"/>
  <c r="P37" i="31"/>
  <c r="P38" i="31"/>
  <c r="P41" i="31"/>
  <c r="P42" i="31"/>
  <c r="P45" i="31"/>
  <c r="P46" i="31"/>
  <c r="P47" i="31"/>
  <c r="P10" i="31"/>
  <c r="P11" i="31"/>
  <c r="P14" i="31"/>
  <c r="P15" i="31"/>
  <c r="P18" i="31"/>
  <c r="P19" i="31"/>
  <c r="P20" i="31"/>
  <c r="P23" i="31"/>
  <c r="P24" i="31"/>
  <c r="P28" i="31"/>
  <c r="P31" i="31"/>
  <c r="P32" i="31"/>
  <c r="P33" i="31"/>
  <c r="P35" i="31"/>
  <c r="P39" i="31"/>
  <c r="P40" i="31"/>
  <c r="P43" i="31"/>
  <c r="P44" i="31"/>
  <c r="P55" i="31"/>
  <c r="O10" i="31"/>
  <c r="O11" i="31"/>
  <c r="O12" i="31"/>
  <c r="O13" i="31"/>
  <c r="O14" i="31"/>
  <c r="O15" i="31"/>
  <c r="O16" i="31"/>
  <c r="O17" i="31"/>
  <c r="O18" i="31"/>
  <c r="O19" i="31"/>
  <c r="O20" i="31"/>
  <c r="O21" i="31"/>
  <c r="O22" i="31"/>
  <c r="O23" i="31"/>
  <c r="O24" i="31"/>
  <c r="O26" i="31"/>
  <c r="O27" i="31"/>
  <c r="O28" i="31"/>
  <c r="O29" i="31"/>
  <c r="O30" i="31"/>
  <c r="O31" i="31"/>
  <c r="O32" i="31"/>
  <c r="O33" i="31"/>
  <c r="O34" i="31"/>
  <c r="O35" i="31"/>
  <c r="O36" i="31"/>
  <c r="O37" i="31"/>
  <c r="O38" i="31"/>
  <c r="O39" i="31"/>
  <c r="O40" i="31"/>
  <c r="O41" i="31"/>
  <c r="O42" i="31"/>
  <c r="O43" i="31"/>
  <c r="O44" i="31"/>
  <c r="O45" i="31"/>
  <c r="O46" i="31"/>
  <c r="O47" i="31"/>
  <c r="O55" i="31"/>
  <c r="N10" i="31"/>
  <c r="Q10" i="31" s="1"/>
  <c r="R10" i="31" s="1"/>
  <c r="N12" i="31"/>
  <c r="Q12" i="31" s="1"/>
  <c r="R12" i="31" s="1"/>
  <c r="N13" i="31"/>
  <c r="Q13" i="31" s="1"/>
  <c r="R13" i="31" s="1"/>
  <c r="N14" i="31"/>
  <c r="Q14" i="31" s="1"/>
  <c r="R14" i="31" s="1"/>
  <c r="N15" i="31"/>
  <c r="Q15" i="31" s="1"/>
  <c r="R15" i="31" s="1"/>
  <c r="N16" i="31"/>
  <c r="Q16" i="31" s="1"/>
  <c r="R16" i="31" s="1"/>
  <c r="N17" i="31"/>
  <c r="Q17" i="31" s="1"/>
  <c r="R17" i="31" s="1"/>
  <c r="N18" i="31"/>
  <c r="Q18" i="31" s="1"/>
  <c r="R18" i="31" s="1"/>
  <c r="N19" i="31"/>
  <c r="Q19" i="31" s="1"/>
  <c r="R19" i="31" s="1"/>
  <c r="N20" i="31"/>
  <c r="Q20" i="31" s="1"/>
  <c r="R20" i="31" s="1"/>
  <c r="N21" i="31"/>
  <c r="Q21" i="31" s="1"/>
  <c r="R21" i="31" s="1"/>
  <c r="N22" i="31"/>
  <c r="Q22" i="31" s="1"/>
  <c r="R22" i="31" s="1"/>
  <c r="N23" i="31"/>
  <c r="Q23" i="31" s="1"/>
  <c r="R23" i="31" s="1"/>
  <c r="N24" i="31"/>
  <c r="Q24" i="31" s="1"/>
  <c r="R24" i="31" s="1"/>
  <c r="N26" i="31"/>
  <c r="Q26" i="31" s="1"/>
  <c r="R26" i="31" s="1"/>
  <c r="N27" i="31"/>
  <c r="Q27" i="31" s="1"/>
  <c r="R27" i="31" s="1"/>
  <c r="N28" i="31"/>
  <c r="Q28" i="31" s="1"/>
  <c r="R28" i="31" s="1"/>
  <c r="N29" i="31"/>
  <c r="Q29" i="31" s="1"/>
  <c r="R29" i="31" s="1"/>
  <c r="N30" i="31"/>
  <c r="Q30" i="31" s="1"/>
  <c r="R30" i="31" s="1"/>
  <c r="N31" i="31"/>
  <c r="Q31" i="31" s="1"/>
  <c r="R31" i="31" s="1"/>
  <c r="N32" i="31"/>
  <c r="Q32" i="31" s="1"/>
  <c r="R32" i="31" s="1"/>
  <c r="N33" i="31"/>
  <c r="Q33" i="31" s="1"/>
  <c r="R33" i="31" s="1"/>
  <c r="N34" i="31"/>
  <c r="Q34" i="31" s="1"/>
  <c r="R34" i="31" s="1"/>
  <c r="N35" i="31"/>
  <c r="Q35" i="31" s="1"/>
  <c r="R35" i="31" s="1"/>
  <c r="N36" i="31"/>
  <c r="Q36" i="31" s="1"/>
  <c r="N37" i="31"/>
  <c r="Q37" i="31" s="1"/>
  <c r="R37" i="31" s="1"/>
  <c r="N38" i="31"/>
  <c r="Q38" i="31" s="1"/>
  <c r="R38" i="31" s="1"/>
  <c r="N39" i="31"/>
  <c r="Q39" i="31" s="1"/>
  <c r="R39" i="31" s="1"/>
  <c r="N40" i="31"/>
  <c r="Q40" i="31" s="1"/>
  <c r="R40" i="31" s="1"/>
  <c r="N41" i="31"/>
  <c r="Q41" i="31" s="1"/>
  <c r="R41" i="31" s="1"/>
  <c r="N42" i="31"/>
  <c r="Q42" i="31" s="1"/>
  <c r="R42" i="31" s="1"/>
  <c r="N43" i="31"/>
  <c r="Q43" i="31" s="1"/>
  <c r="R43" i="31" s="1"/>
  <c r="N44" i="31"/>
  <c r="Q44" i="31" s="1"/>
  <c r="R44" i="31" s="1"/>
  <c r="N45" i="31"/>
  <c r="Q45" i="31" s="1"/>
  <c r="R45" i="31" s="1"/>
  <c r="N46" i="31"/>
  <c r="Q46" i="31" s="1"/>
  <c r="R46" i="31" s="1"/>
  <c r="N47" i="31"/>
  <c r="Q47" i="31" s="1"/>
  <c r="R47" i="31" s="1"/>
  <c r="N55" i="31"/>
  <c r="Q55" i="31" s="1"/>
  <c r="R55" i="31" s="1"/>
  <c r="O9" i="31"/>
  <c r="R36" i="31" l="1"/>
  <c r="R56" i="31" s="1"/>
  <c r="Q56" i="31"/>
  <c r="P9" i="31"/>
  <c r="N9" i="31"/>
  <c r="Q9" i="31" s="1"/>
  <c r="R9" i="31" s="1"/>
  <c r="D56" i="31"/>
  <c r="T19" i="184" l="1"/>
  <c r="V19" i="184" s="1"/>
  <c r="U19" i="184"/>
  <c r="U20" i="184"/>
  <c r="U21" i="184"/>
  <c r="T20" i="184"/>
  <c r="V20" i="184" s="1"/>
  <c r="T21" i="184"/>
  <c r="V21" i="184" s="1"/>
  <c r="U28" i="184" l="1"/>
  <c r="U30" i="184" s="1"/>
  <c r="V28" i="184"/>
  <c r="V30" i="184" s="1"/>
  <c r="U19" i="203"/>
  <c r="U23" i="203"/>
  <c r="U21" i="203"/>
  <c r="U22" i="203"/>
  <c r="U20" i="203"/>
  <c r="T22" i="203"/>
  <c r="V22" i="203" s="1"/>
  <c r="T19" i="203"/>
  <c r="V19" i="203" s="1"/>
  <c r="T23" i="203"/>
  <c r="V23" i="203" s="1"/>
  <c r="T20" i="203"/>
  <c r="V20" i="203" s="1"/>
  <c r="T21" i="203"/>
  <c r="V21" i="203" s="1"/>
  <c r="U26" i="203" l="1"/>
  <c r="U28" i="203" s="1"/>
  <c r="V26" i="203"/>
  <c r="V28" i="203" s="1"/>
  <c r="G32" i="182"/>
  <c r="M32" i="182"/>
  <c r="F12" i="182" s="1"/>
  <c r="F13" i="182" s="1"/>
  <c r="E11" i="31" l="1"/>
  <c r="E56" i="31" l="1"/>
  <c r="N11" i="31"/>
  <c r="Q11" i="31" s="1"/>
  <c r="R11" i="31" s="1"/>
  <c r="N56" i="31" l="1"/>
</calcChain>
</file>

<file path=xl/sharedStrings.xml><?xml version="1.0" encoding="utf-8"?>
<sst xmlns="http://schemas.openxmlformats.org/spreadsheetml/2006/main" count="3116" uniqueCount="238">
  <si>
    <t>:</t>
  </si>
  <si>
    <t>PACKING LIST</t>
  </si>
  <si>
    <t>TOTAL</t>
  </si>
  <si>
    <t>CTN NO.</t>
  </si>
  <si>
    <t>WEIGHT (KGS)</t>
  </si>
  <si>
    <t>GRAND TOTAL</t>
  </si>
  <si>
    <t xml:space="preserve"> N.W.</t>
  </si>
  <si>
    <t xml:space="preserve"> G.W</t>
  </si>
  <si>
    <t>TTL N.W</t>
  </si>
  <si>
    <t>TTL G.W</t>
  </si>
  <si>
    <t>ORDER &amp; SHIP QTY</t>
  </si>
  <si>
    <t>BUYER</t>
  </si>
  <si>
    <t>ORDER QTY.</t>
  </si>
  <si>
    <t>SHIPPEPD QTY.</t>
  </si>
  <si>
    <t>EXCESS/SHORT QTY.</t>
  </si>
  <si>
    <t>CTN QTY.</t>
  </si>
  <si>
    <t>FABRICATION</t>
  </si>
  <si>
    <t>SIZE</t>
  </si>
  <si>
    <t>PCS/CTN</t>
  </si>
  <si>
    <t>TOTAL CTN</t>
  </si>
  <si>
    <t>TOTAL QTY</t>
  </si>
  <si>
    <t>CTN MEAS.</t>
  </si>
  <si>
    <t>L</t>
  </si>
  <si>
    <t>W</t>
  </si>
  <si>
    <t>H</t>
  </si>
  <si>
    <t>-</t>
  </si>
  <si>
    <t>four design (pvt.) ltd</t>
  </si>
  <si>
    <t>A 100% Export Oriented Knit Garments</t>
  </si>
  <si>
    <t>PACIFIC COLLECTIONS</t>
  </si>
  <si>
    <t>Date:</t>
  </si>
  <si>
    <t>SHIP QTY.</t>
  </si>
  <si>
    <t>ORDER NO</t>
  </si>
  <si>
    <t>ITEM NAME</t>
  </si>
  <si>
    <t>ITEM CODE</t>
  </si>
  <si>
    <t>COLOUR</t>
  </si>
  <si>
    <t>ORDER QTY</t>
  </si>
  <si>
    <t>AIR</t>
  </si>
  <si>
    <t>CTN QTY</t>
  </si>
  <si>
    <t>PCS QTY</t>
  </si>
  <si>
    <t>CBM</t>
  </si>
  <si>
    <t>EXCESS QTY</t>
  </si>
  <si>
    <t>%
+/- SHIP</t>
  </si>
  <si>
    <t>SEA</t>
  </si>
  <si>
    <t>COLOR</t>
  </si>
  <si>
    <t>SL NO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</si>
  <si>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</si>
  <si>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</si>
  <si>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</si>
  <si>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</si>
  <si>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</si>
  <si>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</si>
  <si>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</si>
  <si>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</si>
  <si>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</si>
  <si>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</si>
  <si>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</si>
  <si>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</si>
  <si>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</si>
  <si>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</si>
  <si>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</si>
  <si>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</si>
  <si>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</si>
  <si>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</si>
  <si>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</si>
  <si>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</si>
  <si>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</si>
  <si>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</si>
  <si>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</si>
  <si>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</si>
  <si>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</si>
  <si>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</si>
  <si>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</si>
  <si>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</si>
  <si>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</si>
  <si>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</si>
  <si>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</si>
  <si>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</si>
  <si>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</si>
  <si>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</si>
  <si>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</si>
  <si>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</si>
  <si>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</si>
  <si>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</si>
  <si>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</si>
  <si>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CARTON MEAS (CM)</t>
  </si>
  <si>
    <t>FOUR DESIGN (PVT.) LTD</t>
  </si>
  <si>
    <t>2</t>
  </si>
  <si>
    <t>4</t>
  </si>
  <si>
    <t>100% Cotton, 150 GSM.</t>
  </si>
  <si>
    <t>100% Cotton, 180 GSM.</t>
  </si>
  <si>
    <t>Teal</t>
  </si>
  <si>
    <t>S</t>
  </si>
  <si>
    <t>M</t>
  </si>
  <si>
    <t>XL</t>
  </si>
  <si>
    <t>XXL</t>
  </si>
  <si>
    <t>3XL</t>
  </si>
  <si>
    <t>100% Cotton, 350 GSM.</t>
  </si>
  <si>
    <t>KMT42</t>
  </si>
  <si>
    <t>Ngaru Tee</t>
  </si>
  <si>
    <t>Black</t>
  </si>
  <si>
    <t>600KP</t>
  </si>
  <si>
    <t>Moko</t>
  </si>
  <si>
    <t>Shoulder Tattoo</t>
  </si>
  <si>
    <t>Embroidered Fern</t>
  </si>
  <si>
    <t>Midnight</t>
  </si>
  <si>
    <t>PACIFIC COLLECTIONS - 53920</t>
  </si>
  <si>
    <t>Plot # S - 7 &amp; S - 8, BSCIC, I/E, Fatullah, Narayanganj.</t>
  </si>
  <si>
    <t>361KP</t>
  </si>
  <si>
    <t>Sheep Flash Mob</t>
  </si>
  <si>
    <t>Opal Green</t>
  </si>
  <si>
    <t>364KP</t>
  </si>
  <si>
    <t>Kiwi Flash Mob</t>
  </si>
  <si>
    <t>368KP</t>
  </si>
  <si>
    <t>Floral Kiwi</t>
  </si>
  <si>
    <t>Sky Blue</t>
  </si>
  <si>
    <t>Lilac</t>
  </si>
  <si>
    <t>378KP</t>
  </si>
  <si>
    <t>Kiwi Batik</t>
  </si>
  <si>
    <t>Hot Pink</t>
  </si>
  <si>
    <t>682WK</t>
  </si>
  <si>
    <t>Paddle birding</t>
  </si>
  <si>
    <t>Surf Blue</t>
  </si>
  <si>
    <t>683WK</t>
  </si>
  <si>
    <t>Combi</t>
  </si>
  <si>
    <t>Blue Marl</t>
  </si>
  <si>
    <t>685WK</t>
  </si>
  <si>
    <t>Two Kiwi</t>
  </si>
  <si>
    <t>Coral</t>
  </si>
  <si>
    <t>60% Cotton, 40% polyester, 180 GSM.</t>
  </si>
  <si>
    <t>688WK</t>
  </si>
  <si>
    <t>Billion Star Hotel</t>
  </si>
  <si>
    <t>220DF</t>
  </si>
  <si>
    <t>Dry Fit Polo Shirt</t>
  </si>
  <si>
    <t>Black/Grey</t>
  </si>
  <si>
    <t>100% Polyester, 180 GSM.</t>
  </si>
  <si>
    <t>221DF</t>
  </si>
  <si>
    <t>Ta Moko Dry Fit Polo</t>
  </si>
  <si>
    <t>Navy</t>
  </si>
  <si>
    <t>271R</t>
  </si>
  <si>
    <t>Rugby Jersey</t>
  </si>
  <si>
    <t>60% Cotton, 40% Polyester, 300 GSM.</t>
  </si>
  <si>
    <t>KMP58</t>
  </si>
  <si>
    <t>Ngaru Polo Shirt</t>
  </si>
  <si>
    <t>100% Cotton, 250 GSM.</t>
  </si>
  <si>
    <t>KMT41</t>
  </si>
  <si>
    <t>Raumati Tee</t>
  </si>
  <si>
    <t>Sage</t>
  </si>
  <si>
    <t>Ngaru</t>
  </si>
  <si>
    <t>KWH88</t>
  </si>
  <si>
    <t>Womens Kaha Hoodie</t>
  </si>
  <si>
    <t>KWT70</t>
  </si>
  <si>
    <t>Jade</t>
  </si>
  <si>
    <t>107KP</t>
  </si>
  <si>
    <t>134KP</t>
  </si>
  <si>
    <t>Distance</t>
  </si>
  <si>
    <t>Vintage Green</t>
  </si>
  <si>
    <t>137KP</t>
  </si>
  <si>
    <t>160KP</t>
  </si>
  <si>
    <t>Kombi</t>
  </si>
  <si>
    <t>Alpine Blue</t>
  </si>
  <si>
    <t>604KP</t>
  </si>
  <si>
    <t>Kiwi Ferns</t>
  </si>
  <si>
    <t>Kea Green</t>
  </si>
  <si>
    <t>Lake Green</t>
  </si>
  <si>
    <t>606KP</t>
  </si>
  <si>
    <t>Kiwi Circle Crest</t>
  </si>
  <si>
    <t>Klake Green</t>
  </si>
  <si>
    <t>40</t>
  </si>
  <si>
    <t>41</t>
  </si>
  <si>
    <t>42</t>
  </si>
  <si>
    <t>43</t>
  </si>
  <si>
    <t>44</t>
  </si>
  <si>
    <t>45</t>
  </si>
  <si>
    <t>46</t>
  </si>
  <si>
    <t>08WK</t>
  </si>
  <si>
    <t>Kiwi Roadtrip</t>
  </si>
  <si>
    <t>Crabon</t>
  </si>
  <si>
    <t>75WK</t>
  </si>
  <si>
    <t>Kiwi &amp; Fern</t>
  </si>
  <si>
    <t>Cobalt Blue</t>
  </si>
  <si>
    <t>90% Cotton, 10% Polyester, 180 GSM.</t>
  </si>
  <si>
    <t>Grey Marl</t>
  </si>
  <si>
    <t>81WK</t>
  </si>
  <si>
    <t>Forever Adventure</t>
  </si>
  <si>
    <t>157WK</t>
  </si>
  <si>
    <t>Vortex Kiwi</t>
  </si>
  <si>
    <t>Light Grey Marl</t>
  </si>
  <si>
    <t>60% Cotton, 40% Polyester, 180 GSM.</t>
  </si>
  <si>
    <t>Slate Blue Marle</t>
  </si>
  <si>
    <t>161WK</t>
  </si>
  <si>
    <t>165KA</t>
  </si>
  <si>
    <t>Embroidered Kiwi</t>
  </si>
  <si>
    <t>Khaki</t>
  </si>
  <si>
    <t>166NA</t>
  </si>
  <si>
    <t>Embroidered Koru Kiwi</t>
  </si>
  <si>
    <t>168BL</t>
  </si>
  <si>
    <t>169WK</t>
  </si>
  <si>
    <t>Teal Marl</t>
  </si>
  <si>
    <t>171WK</t>
  </si>
  <si>
    <t>Mako</t>
  </si>
  <si>
    <t>14WK</t>
  </si>
  <si>
    <t>Carbon</t>
  </si>
  <si>
    <t>Slate Blue Marl</t>
  </si>
  <si>
    <t>Plot # S - 7 &amp; S - 8, BSCIC, Fatullah, Narayanganj.</t>
  </si>
  <si>
    <t>115KP</t>
  </si>
  <si>
    <t>Fern</t>
  </si>
  <si>
    <t>Aqua</t>
  </si>
  <si>
    <t>119KP</t>
  </si>
  <si>
    <t>Large Ferns</t>
  </si>
  <si>
    <t>140KP</t>
  </si>
  <si>
    <t>Peach</t>
  </si>
  <si>
    <t>173KP</t>
  </si>
  <si>
    <t>Mosaic Kiwi</t>
  </si>
  <si>
    <t>95% Cotton, 5% Spandex 150 GSM.</t>
  </si>
  <si>
    <t>24VT</t>
  </si>
  <si>
    <t>Pohutukawa</t>
  </si>
  <si>
    <t>29FT</t>
  </si>
  <si>
    <t>Feather</t>
  </si>
  <si>
    <t>Dusky Blue</t>
  </si>
  <si>
    <t>31VT</t>
  </si>
  <si>
    <t>Coral Marl</t>
  </si>
  <si>
    <t>32FT</t>
  </si>
  <si>
    <t>Paisley Kiwi</t>
  </si>
  <si>
    <t>Cerise</t>
  </si>
  <si>
    <t>39VT</t>
  </si>
  <si>
    <t>Kiwi &amp; Korus</t>
  </si>
  <si>
    <t>Azure Green</t>
  </si>
  <si>
    <t>50FT</t>
  </si>
  <si>
    <t>Kiwi Tattoo</t>
  </si>
  <si>
    <t>Light Blue</t>
  </si>
  <si>
    <t>60FT</t>
  </si>
  <si>
    <t>Retro Kiwi</t>
  </si>
  <si>
    <t>61FT</t>
  </si>
  <si>
    <t>Silver Kiwi</t>
  </si>
  <si>
    <t>Embroidered Flag</t>
  </si>
  <si>
    <t>26QT</t>
  </si>
  <si>
    <t>Queenstown</t>
  </si>
  <si>
    <t>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</si>
</sst>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,000\ &quot;PCS&quot;"/>
    <numFmt numFmtId="165" formatCode="0&quot;:&quot;"/>
    <numFmt numFmtId="166" formatCode="0\ \ &quot;Pcs&quot;"/>
    <numFmt numFmtId="167" formatCode="0&quot;Pcs&quot;"/>
    <numFmt numFmtId="168" formatCode="0\ "/>
    <numFmt numFmtId="169" formatCode="0\ &quot;Ctn&quot;"/>
    <numFmt numFmtId="170" formatCode="0_);\(0\)"/>
    <numFmt numFmtId="171" formatCode="0\ &quot;CTN&quot;"/>
    <numFmt numFmtId="172" formatCode="00\ "/>
    <numFmt numFmtId="173" formatCode="00\ &quot;CTNS&quot;"/>
    <numFmt numFmtId="174" formatCode="0.00\ &quot;CBM&quot;"/>
    <numFmt numFmtId="175" formatCode="0.00\ &quot;KGS&quot;"/>
    <numFmt numFmtId="176" formatCode="0\ &quot;Pcs&quot;"/>
    <numFmt numFmtId="177" formatCode="00\ &quot;PCS&quot;"/>
    <numFmt numFmtId="178" formatCode="0\ \ &quot;PCS&quot;"/>
    <numFmt numFmtId="179" formatCode="0\ &quot;PCS&quot;"/>
    <numFmt numFmtId="180" formatCode="0.000"/>
  </numFmts>
  <fonts count="62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2"/>
      <name val="Times New Roman"/>
      <family val="1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Tahoma"/>
      <family val="2"/>
    </font>
    <font>
      <sz val="10"/>
      <name val="MS Sans Serif"/>
      <family val="2"/>
    </font>
    <font>
      <b/>
      <sz val="12"/>
      <name val="Tahoma"/>
      <family val="2"/>
    </font>
    <font>
      <b/>
      <sz val="14"/>
      <name val="Tahoma"/>
      <family val="2"/>
    </font>
    <font>
      <b/>
      <sz val="14"/>
      <name val="Arial"/>
      <family val="2"/>
    </font>
    <font>
      <b/>
      <sz val="11"/>
      <name val="Tahoma"/>
      <family val="2"/>
    </font>
    <font>
      <sz val="14"/>
      <name val="Tahoma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omic Sans MS"/>
      <family val="4"/>
    </font>
    <font>
      <sz val="24"/>
      <color theme="1"/>
      <name val="Algerian"/>
      <family val="5"/>
    </font>
    <font>
      <sz val="10"/>
      <name val="Calibri"/>
      <family val="2"/>
      <scheme val="minor"/>
    </font>
    <font>
      <b/>
      <sz val="14"/>
      <color theme="1"/>
      <name val="Comic Sans MS"/>
      <family val="4"/>
    </font>
    <font>
      <b/>
      <sz val="10"/>
      <name val="Calibri"/>
      <family val="2"/>
      <scheme val="minor"/>
    </font>
    <font>
      <sz val="8"/>
      <name val="Arial"/>
      <family val="2"/>
    </font>
    <font>
      <b/>
      <sz val="10"/>
      <color theme="1"/>
      <name val="Calibri"/>
      <family val="2"/>
      <scheme val="minor"/>
    </font>
    <font>
      <b/>
      <sz val="24"/>
      <color theme="1"/>
      <name val="Comic Sans MS"/>
      <family val="4"/>
    </font>
    <font>
      <b/>
      <sz val="16"/>
      <name val="Comic Sans MS"/>
      <family val="4"/>
    </font>
    <font>
      <sz val="11"/>
      <name val="Arial"/>
      <family val="2"/>
    </font>
    <font>
      <sz val="10"/>
      <color theme="1"/>
      <name val="Comic Sans MS"/>
      <family val="4"/>
    </font>
    <font>
      <b/>
      <sz val="16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98">
    <xf numFmtId="0" fontId="0" fillId="0" borderId="0"/>
    <xf numFmtId="0" fontId="1" fillId="0" borderId="0">
      <alignment vertical="top"/>
    </xf>
    <xf numFmtId="0" fontId="23" fillId="2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/>
    <xf numFmtId="0" fontId="1" fillId="0" borderId="0"/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4" borderId="1" applyNumberFormat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1" fillId="37" borderId="7" applyNumberFormat="0" applyFont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5" borderId="2" applyNumberFormat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7" borderId="1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3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9" fillId="34" borderId="8" applyNumberFormat="0" applyAlignment="0" applyProtection="0">
      <alignment vertical="center"/>
    </xf>
    <xf numFmtId="0" fontId="7" fillId="0" borderId="0"/>
    <xf numFmtId="0" fontId="41" fillId="0" borderId="0"/>
    <xf numFmtId="43" fontId="1" fillId="0" borderId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4" fillId="0" borderId="0"/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2" borderId="2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4" fillId="43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4" borderId="1" applyNumberFormat="0" applyAlignment="0" applyProtection="0">
      <alignment vertical="center"/>
    </xf>
    <xf numFmtId="0" fontId="19" fillId="13" borderId="1" applyNumberFormat="0" applyAlignment="0" applyProtection="0">
      <alignment vertical="center"/>
    </xf>
    <xf numFmtId="0" fontId="20" fillId="44" borderId="8" applyNumberFormat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</cellStyleXfs>
  <cellXfs count="127">
    <xf numFmtId="0" fontId="0" fillId="0" borderId="0" xfId="0"/>
    <xf numFmtId="0" fontId="40" fillId="0" borderId="0" xfId="0" applyFont="1"/>
    <xf numFmtId="0" fontId="42" fillId="0" borderId="0" xfId="0" applyFont="1"/>
    <xf numFmtId="0" fontId="43" fillId="0" borderId="0" xfId="0" applyFont="1"/>
    <xf numFmtId="0" fontId="46" fillId="0" borderId="0" xfId="0" applyFont="1"/>
    <xf numFmtId="0" fontId="42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0" fontId="44" fillId="0" borderId="0" xfId="0" applyFont="1" applyAlignment="1">
      <alignment horizontal="center" vertical="center"/>
    </xf>
    <xf numFmtId="0" fontId="48" fillId="0" borderId="0" xfId="0" applyFont="1"/>
    <xf numFmtId="165" fontId="48" fillId="0" borderId="0" xfId="0" applyNumberFormat="1" applyFont="1"/>
    <xf numFmtId="165" fontId="48" fillId="0" borderId="0" xfId="0" applyNumberFormat="1" applyFont="1" applyAlignment="1">
      <alignment horizontal="left"/>
    </xf>
    <xf numFmtId="0" fontId="48" fillId="0" borderId="0" xfId="0" applyFont="1" applyAlignment="1">
      <alignment horizontal="center"/>
    </xf>
    <xf numFmtId="164" fontId="48" fillId="0" borderId="0" xfId="0" applyNumberFormat="1" applyFont="1"/>
    <xf numFmtId="165" fontId="48" fillId="46" borderId="0" xfId="0" applyNumberFormat="1" applyFont="1" applyFill="1" applyAlignment="1">
      <alignment horizontal="left"/>
    </xf>
    <xf numFmtId="167" fontId="48" fillId="0" borderId="0" xfId="0" applyNumberFormat="1" applyFont="1" applyAlignment="1">
      <alignment horizontal="left"/>
    </xf>
    <xf numFmtId="164" fontId="48" fillId="0" borderId="0" xfId="0" applyNumberFormat="1" applyFont="1" applyAlignment="1">
      <alignment horizontal="center"/>
    </xf>
    <xf numFmtId="168" fontId="48" fillId="0" borderId="0" xfId="0" applyNumberFormat="1" applyFont="1"/>
    <xf numFmtId="0" fontId="49" fillId="0" borderId="12" xfId="47" applyFont="1" applyBorder="1" applyAlignment="1">
      <alignment horizontal="center" vertical="center"/>
    </xf>
    <xf numFmtId="170" fontId="49" fillId="46" borderId="12" xfId="72" applyNumberFormat="1" applyFont="1" applyFill="1" applyBorder="1" applyAlignment="1" applyProtection="1">
      <alignment horizontal="center" vertical="center"/>
      <protection locked="0"/>
    </xf>
    <xf numFmtId="0" fontId="49" fillId="46" borderId="12" xfId="0" applyFont="1" applyFill="1" applyBorder="1" applyAlignment="1">
      <alignment horizontal="center" vertical="center"/>
    </xf>
    <xf numFmtId="171" fontId="49" fillId="46" borderId="12" xfId="72" applyNumberFormat="1" applyFont="1" applyFill="1" applyBorder="1" applyAlignment="1">
      <alignment horizontal="center" vertical="center"/>
    </xf>
    <xf numFmtId="166" fontId="48" fillId="0" borderId="0" xfId="0" applyNumberFormat="1" applyFont="1" applyAlignment="1">
      <alignment horizontal="center" vertical="center"/>
    </xf>
    <xf numFmtId="166" fontId="48" fillId="0" borderId="13" xfId="0" applyNumberFormat="1" applyFont="1" applyBorder="1" applyAlignment="1">
      <alignment vertical="center"/>
    </xf>
    <xf numFmtId="0" fontId="45" fillId="0" borderId="0" xfId="0" applyFont="1"/>
    <xf numFmtId="166" fontId="48" fillId="0" borderId="0" xfId="0" applyNumberFormat="1" applyFont="1" applyAlignment="1">
      <alignment horizontal="left"/>
    </xf>
    <xf numFmtId="168" fontId="49" fillId="0" borderId="12" xfId="0" applyNumberFormat="1" applyFont="1" applyBorder="1" applyAlignment="1">
      <alignment horizontal="center" vertical="center"/>
    </xf>
    <xf numFmtId="0" fontId="49" fillId="0" borderId="12" xfId="0" quotePrefix="1" applyFont="1" applyBorder="1" applyAlignment="1">
      <alignment horizontal="center" vertical="center"/>
    </xf>
    <xf numFmtId="0" fontId="48" fillId="0" borderId="0" xfId="0" applyFont="1" applyAlignment="1">
      <alignment horizontal="right"/>
    </xf>
    <xf numFmtId="178" fontId="49" fillId="0" borderId="12" xfId="72" applyNumberFormat="1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48" fillId="47" borderId="12" xfId="0" applyFont="1" applyFill="1" applyBorder="1" applyAlignment="1">
      <alignment horizontal="center" vertical="center" wrapText="1"/>
    </xf>
    <xf numFmtId="1" fontId="48" fillId="0" borderId="0" xfId="0" applyNumberFormat="1" applyFont="1"/>
    <xf numFmtId="1" fontId="48" fillId="0" borderId="0" xfId="0" applyNumberFormat="1" applyFont="1" applyAlignment="1">
      <alignment horizontal="left"/>
    </xf>
    <xf numFmtId="0" fontId="52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4" fillId="0" borderId="12" xfId="0" applyFont="1" applyBorder="1" applyAlignment="1">
      <alignment horizontal="center" vertical="center"/>
    </xf>
    <xf numFmtId="0" fontId="47" fillId="0" borderId="12" xfId="0" applyFont="1" applyBorder="1" applyAlignment="1">
      <alignment horizontal="center" vertical="center"/>
    </xf>
    <xf numFmtId="0" fontId="56" fillId="0" borderId="12" xfId="0" applyFont="1" applyBorder="1" applyAlignment="1">
      <alignment horizontal="center" vertical="center" wrapText="1"/>
    </xf>
    <xf numFmtId="180" fontId="54" fillId="0" borderId="12" xfId="0" applyNumberFormat="1" applyFont="1" applyBorder="1" applyAlignment="1">
      <alignment horizontal="center" vertical="center"/>
    </xf>
    <xf numFmtId="180" fontId="49" fillId="0" borderId="12" xfId="38" applyNumberFormat="1" applyFont="1" applyFill="1" applyBorder="1" applyAlignment="1" applyProtection="1">
      <alignment horizontal="center" vertical="center"/>
      <protection locked="0"/>
    </xf>
    <xf numFmtId="0" fontId="47" fillId="0" borderId="0" xfId="0" applyFont="1" applyAlignment="1">
      <alignment horizontal="center" vertical="center"/>
    </xf>
    <xf numFmtId="0" fontId="54" fillId="0" borderId="12" xfId="0" quotePrefix="1" applyFont="1" applyBorder="1" applyAlignment="1">
      <alignment horizontal="center" vertical="center"/>
    </xf>
    <xf numFmtId="0" fontId="59" fillId="0" borderId="0" xfId="0" applyFont="1"/>
    <xf numFmtId="164" fontId="45" fillId="0" borderId="0" xfId="0" applyNumberFormat="1" applyFont="1"/>
    <xf numFmtId="49" fontId="48" fillId="48" borderId="12" xfId="72" applyNumberFormat="1" applyFont="1" applyFill="1" applyBorder="1" applyAlignment="1">
      <alignment horizontal="center" vertical="center"/>
    </xf>
    <xf numFmtId="0" fontId="48" fillId="0" borderId="0" xfId="72" applyFont="1" applyAlignment="1">
      <alignment horizontal="left" vertical="center"/>
    </xf>
    <xf numFmtId="0" fontId="48" fillId="48" borderId="12" xfId="0" applyFont="1" applyFill="1" applyBorder="1" applyAlignment="1">
      <alignment vertical="center"/>
    </xf>
    <xf numFmtId="173" fontId="48" fillId="48" borderId="12" xfId="0" applyNumberFormat="1" applyFont="1" applyFill="1" applyBorder="1" applyAlignment="1">
      <alignment horizontal="center" vertical="center"/>
    </xf>
    <xf numFmtId="177" fontId="48" fillId="48" borderId="12" xfId="0" applyNumberFormat="1" applyFont="1" applyFill="1" applyBorder="1" applyAlignment="1">
      <alignment horizontal="center" vertical="center"/>
    </xf>
    <xf numFmtId="175" fontId="48" fillId="48" borderId="12" xfId="0" applyNumberFormat="1" applyFont="1" applyFill="1" applyBorder="1" applyAlignment="1">
      <alignment horizontal="center" vertical="center"/>
    </xf>
    <xf numFmtId="175" fontId="48" fillId="48" borderId="12" xfId="0" applyNumberFormat="1" applyFont="1" applyFill="1" applyBorder="1" applyAlignment="1">
      <alignment horizontal="center" vertical="center" wrapText="1"/>
    </xf>
    <xf numFmtId="49" fontId="48" fillId="48" borderId="12" xfId="0" applyNumberFormat="1" applyFont="1" applyFill="1" applyBorder="1" applyAlignment="1">
      <alignment horizontal="center" vertical="center"/>
    </xf>
    <xf numFmtId="176" fontId="48" fillId="48" borderId="12" xfId="47" applyNumberFormat="1" applyFont="1" applyFill="1" applyBorder="1" applyAlignment="1">
      <alignment horizontal="center" vertical="center"/>
    </xf>
    <xf numFmtId="176" fontId="48" fillId="48" borderId="12" xfId="72" applyNumberFormat="1" applyFont="1" applyFill="1" applyBorder="1" applyAlignment="1" applyProtection="1">
      <alignment horizontal="center" vertical="center"/>
      <protection locked="0"/>
    </xf>
    <xf numFmtId="170" fontId="48" fillId="48" borderId="12" xfId="72" applyNumberFormat="1" applyFont="1" applyFill="1" applyBorder="1" applyAlignment="1" applyProtection="1">
      <alignment horizontal="center" vertical="center"/>
      <protection locked="0"/>
    </xf>
    <xf numFmtId="171" fontId="48" fillId="48" borderId="12" xfId="72" applyNumberFormat="1" applyFont="1" applyFill="1" applyBorder="1" applyAlignment="1">
      <alignment horizontal="center" vertical="center"/>
    </xf>
    <xf numFmtId="178" fontId="48" fillId="48" borderId="12" xfId="72" applyNumberFormat="1" applyFont="1" applyFill="1" applyBorder="1" applyAlignment="1">
      <alignment horizontal="center" vertical="center"/>
    </xf>
    <xf numFmtId="2" fontId="48" fillId="48" borderId="12" xfId="38" applyNumberFormat="1" applyFont="1" applyFill="1" applyBorder="1" applyAlignment="1" applyProtection="1">
      <alignment horizontal="center" vertical="center"/>
      <protection locked="0"/>
    </xf>
    <xf numFmtId="180" fontId="48" fillId="48" borderId="12" xfId="38" applyNumberFormat="1" applyFont="1" applyFill="1" applyBorder="1" applyAlignment="1" applyProtection="1">
      <alignment horizontal="center" vertical="center"/>
      <protection locked="0"/>
    </xf>
    <xf numFmtId="180" fontId="48" fillId="48" borderId="12" xfId="0" applyNumberFormat="1" applyFont="1" applyFill="1" applyBorder="1" applyAlignment="1">
      <alignment horizontal="center" vertical="center"/>
    </xf>
    <xf numFmtId="49" fontId="56" fillId="0" borderId="12" xfId="0" applyNumberFormat="1" applyFont="1" applyBorder="1" applyAlignment="1">
      <alignment horizontal="center" vertical="center" wrapText="1"/>
    </xf>
    <xf numFmtId="10" fontId="54" fillId="0" borderId="12" xfId="0" applyNumberFormat="1" applyFont="1" applyBorder="1" applyAlignment="1">
      <alignment horizontal="center" vertical="center"/>
    </xf>
    <xf numFmtId="10" fontId="47" fillId="0" borderId="12" xfId="0" applyNumberFormat="1" applyFont="1" applyBorder="1" applyAlignment="1">
      <alignment horizontal="center" vertical="center"/>
    </xf>
    <xf numFmtId="0" fontId="54" fillId="0" borderId="12" xfId="0" applyFont="1" applyBorder="1" applyAlignment="1">
      <alignment horizontal="center" vertical="center"/>
    </xf>
    <xf numFmtId="179" fontId="54" fillId="0" borderId="12" xfId="0" applyNumberFormat="1" applyFont="1" applyBorder="1" applyAlignment="1">
      <alignment horizontal="center" vertical="center"/>
    </xf>
    <xf numFmtId="0" fontId="48" fillId="48" borderId="12" xfId="0" applyFont="1" applyFill="1" applyBorder="1" applyAlignment="1">
      <alignment horizontal="center" vertical="center"/>
    </xf>
    <xf numFmtId="0" fontId="48" fillId="48" borderId="12" xfId="72" applyFont="1" applyFill="1" applyBorder="1" applyAlignment="1">
      <alignment horizontal="center" vertical="center"/>
    </xf>
    <xf numFmtId="0" fontId="48" fillId="48" borderId="12" xfId="72" applyFont="1" applyFill="1" applyBorder="1" applyAlignment="1">
      <alignment horizontal="center" vertical="center" shrinkToFit="1"/>
    </xf>
    <xf numFmtId="0" fontId="40" fillId="0" borderId="0" xfId="0" applyFont="1" applyAlignment="1">
      <alignment horizontal="center"/>
    </xf>
    <xf numFmtId="0" fontId="48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4" fillId="0" borderId="12" xfId="0" applyFont="1" applyBorder="1" applyAlignment="1">
      <alignment horizontal="center" vertical="center"/>
    </xf>
    <xf numFmtId="0" fontId="56" fillId="0" borderId="12" xfId="0" quotePrefix="1" applyFont="1" applyFill="1" applyBorder="1" applyAlignment="1">
      <alignment horizontal="center" vertical="center" wrapText="1"/>
    </xf>
    <xf numFmtId="0" fontId="54" fillId="51" borderId="12" xfId="0" applyFont="1" applyFill="1" applyBorder="1" applyAlignment="1">
      <alignment horizontal="center" vertical="center"/>
    </xf>
    <xf numFmtId="0" fontId="54" fillId="52" borderId="12" xfId="0" applyFont="1" applyFill="1" applyBorder="1" applyAlignment="1">
      <alignment horizontal="center" vertical="center"/>
    </xf>
    <xf numFmtId="0" fontId="54" fillId="53" borderId="12" xfId="0" applyFont="1" applyFill="1" applyBorder="1" applyAlignment="1">
      <alignment horizontal="center" vertical="center"/>
    </xf>
    <xf numFmtId="0" fontId="54" fillId="49" borderId="12" xfId="0" applyFont="1" applyFill="1" applyBorder="1" applyAlignment="1">
      <alignment horizontal="center" vertical="center"/>
    </xf>
    <xf numFmtId="179" fontId="54" fillId="0" borderId="12" xfId="0" applyNumberFormat="1" applyFont="1" applyBorder="1" applyAlignment="1">
      <alignment horizontal="center" vertical="center"/>
    </xf>
    <xf numFmtId="0" fontId="48" fillId="48" borderId="12" xfId="0" applyFont="1" applyFill="1" applyBorder="1" applyAlignment="1">
      <alignment horizontal="center" vertical="center"/>
    </xf>
    <xf numFmtId="0" fontId="48" fillId="48" borderId="12" xfId="72" applyFont="1" applyFill="1" applyBorder="1" applyAlignment="1">
      <alignment horizontal="center" vertical="center"/>
    </xf>
    <xf numFmtId="0" fontId="48" fillId="48" borderId="12" xfId="72" applyFont="1" applyFill="1" applyBorder="1" applyAlignment="1">
      <alignment horizontal="center" vertical="center" shrinkToFit="1"/>
    </xf>
    <xf numFmtId="0" fontId="48" fillId="0" borderId="0" xfId="0" applyFont="1" applyAlignment="1">
      <alignment horizontal="center" vertical="center"/>
    </xf>
    <xf numFmtId="0" fontId="40" fillId="0" borderId="0" xfId="0" applyFont="1" applyAlignment="1">
      <alignment horizontal="center"/>
    </xf>
    <xf numFmtId="0" fontId="54" fillId="54" borderId="12" xfId="0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48" fillId="0" borderId="0" xfId="0" applyFont="1" applyAlignment="1">
      <alignment horizontal="center" vertical="center"/>
    </xf>
    <xf numFmtId="0" fontId="48" fillId="48" borderId="12" xfId="0" applyFont="1" applyFill="1" applyBorder="1" applyAlignment="1">
      <alignment horizontal="center" vertical="center"/>
    </xf>
    <xf numFmtId="0" fontId="48" fillId="48" borderId="12" xfId="72" applyFont="1" applyFill="1" applyBorder="1" applyAlignment="1">
      <alignment horizontal="center" vertical="center"/>
    </xf>
    <xf numFmtId="0" fontId="48" fillId="48" borderId="12" xfId="72" applyFont="1" applyFill="1" applyBorder="1" applyAlignment="1">
      <alignment horizontal="center" vertical="center" shrinkToFit="1"/>
    </xf>
    <xf numFmtId="179" fontId="54" fillId="0" borderId="12" xfId="0" applyNumberFormat="1" applyFont="1" applyBorder="1" applyAlignment="1">
      <alignment horizontal="center" vertical="center"/>
    </xf>
    <xf numFmtId="0" fontId="54" fillId="0" borderId="12" xfId="0" applyFont="1" applyBorder="1" applyAlignment="1">
      <alignment horizontal="center" vertical="center"/>
    </xf>
    <xf numFmtId="0" fontId="54" fillId="55" borderId="12" xfId="0" applyFont="1" applyFill="1" applyBorder="1" applyAlignment="1">
      <alignment horizontal="center" vertical="center"/>
    </xf>
    <xf numFmtId="0" fontId="54" fillId="56" borderId="12" xfId="0" applyFont="1" applyFill="1" applyBorder="1" applyAlignment="1">
      <alignment horizontal="center" vertical="center"/>
    </xf>
    <xf numFmtId="0" fontId="54" fillId="57" borderId="12" xfId="0" applyFont="1" applyFill="1" applyBorder="1" applyAlignment="1">
      <alignment horizontal="center" vertical="center"/>
    </xf>
    <xf numFmtId="169" fontId="48" fillId="0" borderId="0" xfId="0" applyNumberFormat="1" applyFont="1" applyAlignment="1">
      <alignment horizontal="left"/>
    </xf>
    <xf numFmtId="0" fontId="57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top"/>
    </xf>
    <xf numFmtId="0" fontId="40" fillId="0" borderId="0" xfId="0" applyFont="1" applyAlignment="1">
      <alignment horizontal="center"/>
    </xf>
    <xf numFmtId="0" fontId="58" fillId="48" borderId="12" xfId="0" applyFont="1" applyFill="1" applyBorder="1" applyAlignment="1">
      <alignment horizontal="center" vertical="center"/>
    </xf>
    <xf numFmtId="0" fontId="42" fillId="0" borderId="0" xfId="0" applyFont="1" applyAlignment="1">
      <alignment horizontal="center"/>
    </xf>
    <xf numFmtId="166" fontId="48" fillId="0" borderId="0" xfId="72" applyNumberFormat="1" applyFont="1" applyAlignment="1">
      <alignment horizontal="left"/>
    </xf>
    <xf numFmtId="0" fontId="48" fillId="0" borderId="0" xfId="0" applyFont="1" applyAlignment="1">
      <alignment horizontal="center" vertical="center"/>
    </xf>
    <xf numFmtId="0" fontId="48" fillId="0" borderId="15" xfId="0" applyFont="1" applyBorder="1" applyAlignment="1">
      <alignment horizontal="center"/>
    </xf>
    <xf numFmtId="0" fontId="48" fillId="48" borderId="12" xfId="0" applyFont="1" applyFill="1" applyBorder="1" applyAlignment="1">
      <alignment horizontal="center" vertical="center"/>
    </xf>
    <xf numFmtId="0" fontId="48" fillId="48" borderId="12" xfId="72" applyFont="1" applyFill="1" applyBorder="1" applyAlignment="1">
      <alignment horizontal="center" vertical="center"/>
    </xf>
    <xf numFmtId="0" fontId="48" fillId="48" borderId="12" xfId="72" applyFont="1" applyFill="1" applyBorder="1" applyAlignment="1">
      <alignment horizontal="center" vertical="center" shrinkToFit="1"/>
    </xf>
    <xf numFmtId="0" fontId="48" fillId="48" borderId="12" xfId="0" applyFont="1" applyFill="1" applyBorder="1" applyAlignment="1">
      <alignment horizontal="center" vertical="center" wrapText="1"/>
    </xf>
    <xf numFmtId="0" fontId="48" fillId="48" borderId="12" xfId="72" applyFont="1" applyFill="1" applyBorder="1" applyAlignment="1" applyProtection="1">
      <alignment horizontal="center" vertical="center"/>
      <protection locked="0"/>
    </xf>
    <xf numFmtId="0" fontId="48" fillId="48" borderId="12" xfId="72" applyFont="1" applyFill="1" applyBorder="1" applyAlignment="1">
      <alignment horizontal="center" vertical="center" wrapText="1"/>
    </xf>
    <xf numFmtId="49" fontId="47" fillId="46" borderId="12" xfId="72" applyNumberFormat="1" applyFont="1" applyFill="1" applyBorder="1" applyAlignment="1" applyProtection="1">
      <alignment horizontal="center" vertical="center" wrapText="1"/>
      <protection locked="0"/>
    </xf>
    <xf numFmtId="1" fontId="61" fillId="0" borderId="12" xfId="72" applyNumberFormat="1" applyFont="1" applyBorder="1" applyAlignment="1">
      <alignment horizontal="center" vertical="center"/>
    </xf>
    <xf numFmtId="172" fontId="61" fillId="0" borderId="12" xfId="72" applyNumberFormat="1" applyFont="1" applyBorder="1" applyAlignment="1">
      <alignment horizontal="center" vertical="center"/>
    </xf>
    <xf numFmtId="168" fontId="48" fillId="48" borderId="12" xfId="0" applyNumberFormat="1" applyFont="1" applyFill="1" applyBorder="1" applyAlignment="1">
      <alignment horizontal="center" vertical="center"/>
    </xf>
    <xf numFmtId="2" fontId="48" fillId="48" borderId="12" xfId="72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/>
    </xf>
    <xf numFmtId="0" fontId="48" fillId="0" borderId="11" xfId="0" applyFont="1" applyBorder="1" applyAlignment="1">
      <alignment horizontal="center"/>
    </xf>
    <xf numFmtId="0" fontId="48" fillId="0" borderId="14" xfId="0" applyFont="1" applyBorder="1" applyAlignment="1">
      <alignment horizontal="center"/>
    </xf>
    <xf numFmtId="174" fontId="48" fillId="48" borderId="12" xfId="72" applyNumberFormat="1" applyFont="1" applyFill="1" applyBorder="1" applyAlignment="1" applyProtection="1">
      <alignment horizontal="center" vertical="center" shrinkToFit="1"/>
      <protection locked="0"/>
    </xf>
    <xf numFmtId="0" fontId="49" fillId="0" borderId="11" xfId="0" applyFont="1" applyBorder="1" applyAlignment="1">
      <alignment horizontal="center"/>
    </xf>
    <xf numFmtId="0" fontId="54" fillId="0" borderId="12" xfId="0" applyFont="1" applyBorder="1" applyAlignment="1">
      <alignment horizontal="center" vertical="center"/>
    </xf>
    <xf numFmtId="49" fontId="54" fillId="0" borderId="12" xfId="0" applyNumberFormat="1" applyFont="1" applyBorder="1" applyAlignment="1">
      <alignment horizontal="center" vertical="center" wrapText="1"/>
    </xf>
    <xf numFmtId="0" fontId="54" fillId="0" borderId="12" xfId="0" applyFont="1" applyBorder="1" applyAlignment="1">
      <alignment horizontal="center" vertical="center" wrapText="1"/>
    </xf>
    <xf numFmtId="179" fontId="54" fillId="0" borderId="12" xfId="0" applyNumberFormat="1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3" fillId="50" borderId="0" xfId="0" applyFont="1" applyFill="1" applyAlignment="1">
      <alignment horizontal="center" vertical="center"/>
    </xf>
    <xf numFmtId="0" fontId="47" fillId="47" borderId="12" xfId="0" applyFont="1" applyFill="1" applyBorder="1" applyAlignment="1">
      <alignment horizontal="center" vertical="center" wrapText="1"/>
    </xf>
  </cellXfs>
  <cellStyles count="98">
    <cellStyle name="0,0_x000d__x000a_NA_x000d__x000a_" xfId="1" xr:uid="{00000000-0005-0000-0000-000000000000}"/>
    <cellStyle name="20% - 강조색1" xfId="2" xr:uid="{00000000-0005-0000-0000-000001000000}"/>
    <cellStyle name="20% - 강조색2" xfId="3" xr:uid="{00000000-0005-0000-0000-000002000000}"/>
    <cellStyle name="20% - 강조색3" xfId="4" xr:uid="{00000000-0005-0000-0000-000003000000}"/>
    <cellStyle name="20% - 강조색4" xfId="5" xr:uid="{00000000-0005-0000-0000-000004000000}"/>
    <cellStyle name="20% - 강조색5" xfId="6" xr:uid="{00000000-0005-0000-0000-000005000000}"/>
    <cellStyle name="20% - 강조색6" xfId="7" xr:uid="{00000000-0005-0000-0000-000006000000}"/>
    <cellStyle name="20% - 强调文字颜色 1" xfId="8" xr:uid="{00000000-0005-0000-0000-000007000000}"/>
    <cellStyle name="20% - 强调文字颜色 2" xfId="9" xr:uid="{00000000-0005-0000-0000-000008000000}"/>
    <cellStyle name="20% - 强调文字颜色 3" xfId="10" xr:uid="{00000000-0005-0000-0000-000009000000}"/>
    <cellStyle name="20% - 强调文字颜色 4" xfId="11" xr:uid="{00000000-0005-0000-0000-00000A000000}"/>
    <cellStyle name="20% - 强调文字颜色 5" xfId="12" xr:uid="{00000000-0005-0000-0000-00000B000000}"/>
    <cellStyle name="20% - 强调文字颜色 6" xfId="13" xr:uid="{00000000-0005-0000-0000-00000C000000}"/>
    <cellStyle name="40% - 강조색1" xfId="14" xr:uid="{00000000-0005-0000-0000-00000D000000}"/>
    <cellStyle name="40% - 강조색2" xfId="15" xr:uid="{00000000-0005-0000-0000-00000E000000}"/>
    <cellStyle name="40% - 강조색3" xfId="16" xr:uid="{00000000-0005-0000-0000-00000F000000}"/>
    <cellStyle name="40% - 강조색4" xfId="17" xr:uid="{00000000-0005-0000-0000-000010000000}"/>
    <cellStyle name="40% - 강조색5" xfId="18" xr:uid="{00000000-0005-0000-0000-000011000000}"/>
    <cellStyle name="40% - 강조색6" xfId="19" xr:uid="{00000000-0005-0000-0000-000012000000}"/>
    <cellStyle name="40% - 强调文字颜色 1" xfId="20" xr:uid="{00000000-0005-0000-0000-000013000000}"/>
    <cellStyle name="40% - 强调文字颜色 2" xfId="21" xr:uid="{00000000-0005-0000-0000-000014000000}"/>
    <cellStyle name="40% - 强调文字颜色 3" xfId="22" xr:uid="{00000000-0005-0000-0000-000015000000}"/>
    <cellStyle name="40% - 强调文字颜色 4" xfId="23" xr:uid="{00000000-0005-0000-0000-000016000000}"/>
    <cellStyle name="40% - 强调文字颜色 5" xfId="24" xr:uid="{00000000-0005-0000-0000-000017000000}"/>
    <cellStyle name="40% - 强调文字颜色 6" xfId="25" xr:uid="{00000000-0005-0000-0000-000018000000}"/>
    <cellStyle name="60% - 강조색1" xfId="26" xr:uid="{00000000-0005-0000-0000-000019000000}"/>
    <cellStyle name="60% - 강조색2" xfId="27" xr:uid="{00000000-0005-0000-0000-00001A000000}"/>
    <cellStyle name="60% - 강조색3" xfId="28" xr:uid="{00000000-0005-0000-0000-00001B000000}"/>
    <cellStyle name="60% - 강조색4" xfId="29" xr:uid="{00000000-0005-0000-0000-00001C000000}"/>
    <cellStyle name="60% - 강조색5" xfId="30" xr:uid="{00000000-0005-0000-0000-00001D000000}"/>
    <cellStyle name="60% - 강조색6" xfId="31" xr:uid="{00000000-0005-0000-0000-00001E000000}"/>
    <cellStyle name="60% - 强调文字颜色 1" xfId="32" xr:uid="{00000000-0005-0000-0000-00001F000000}"/>
    <cellStyle name="60% - 强调文字颜色 2" xfId="33" xr:uid="{00000000-0005-0000-0000-000020000000}"/>
    <cellStyle name="60% - 强调文字颜色 3" xfId="34" xr:uid="{00000000-0005-0000-0000-000021000000}"/>
    <cellStyle name="60% - 强调文字颜色 4" xfId="35" xr:uid="{00000000-0005-0000-0000-000022000000}"/>
    <cellStyle name="60% - 强调文字颜色 5" xfId="36" xr:uid="{00000000-0005-0000-0000-000023000000}"/>
    <cellStyle name="60% - 强调文字颜色 6" xfId="37" xr:uid="{00000000-0005-0000-0000-000024000000}"/>
    <cellStyle name="Comma 2" xfId="38" xr:uid="{00000000-0005-0000-0000-000025000000}"/>
    <cellStyle name="Comma 3" xfId="39" xr:uid="{00000000-0005-0000-0000-000026000000}"/>
    <cellStyle name="Comma 4" xfId="40" xr:uid="{00000000-0005-0000-0000-000027000000}"/>
    <cellStyle name="Currency 2" xfId="41" xr:uid="{00000000-0005-0000-0000-000028000000}"/>
    <cellStyle name="Currency 3" xfId="42" xr:uid="{00000000-0005-0000-0000-000029000000}"/>
    <cellStyle name="Currency 4" xfId="43" xr:uid="{00000000-0005-0000-0000-00002A000000}"/>
    <cellStyle name="Normal" xfId="0" builtinId="0"/>
    <cellStyle name="Normal 2" xfId="44" xr:uid="{00000000-0005-0000-0000-00002C000000}"/>
    <cellStyle name="Normal 3" xfId="45" xr:uid="{00000000-0005-0000-0000-00002D000000}"/>
    <cellStyle name="Normal 4" xfId="46" xr:uid="{00000000-0005-0000-0000-00002E000000}"/>
    <cellStyle name="Normal_Bando spring 09" xfId="47" xr:uid="{00000000-0005-0000-0000-00002F000000}"/>
    <cellStyle name="강조색1" xfId="48" xr:uid="{00000000-0005-0000-0000-000030000000}"/>
    <cellStyle name="강조색2" xfId="49" xr:uid="{00000000-0005-0000-0000-000031000000}"/>
    <cellStyle name="강조색3" xfId="50" xr:uid="{00000000-0005-0000-0000-000032000000}"/>
    <cellStyle name="강조색4" xfId="51" xr:uid="{00000000-0005-0000-0000-000033000000}"/>
    <cellStyle name="강조색5" xfId="52" xr:uid="{00000000-0005-0000-0000-000034000000}"/>
    <cellStyle name="강조색6" xfId="53" xr:uid="{00000000-0005-0000-0000-000035000000}"/>
    <cellStyle name="경고문" xfId="54" xr:uid="{00000000-0005-0000-0000-000036000000}"/>
    <cellStyle name="계산" xfId="55" xr:uid="{00000000-0005-0000-0000-000037000000}"/>
    <cellStyle name="나쁨" xfId="56" xr:uid="{00000000-0005-0000-0000-000038000000}"/>
    <cellStyle name="메모" xfId="57" xr:uid="{00000000-0005-0000-0000-000039000000}"/>
    <cellStyle name="보통" xfId="58" xr:uid="{00000000-0005-0000-0000-00003A000000}"/>
    <cellStyle name="설명 텍스트" xfId="59" xr:uid="{00000000-0005-0000-0000-00003B000000}"/>
    <cellStyle name="셀 확인" xfId="60" xr:uid="{00000000-0005-0000-0000-00003C000000}"/>
    <cellStyle name="연결된 셀" xfId="61" xr:uid="{00000000-0005-0000-0000-00003D000000}"/>
    <cellStyle name="요약" xfId="62" xr:uid="{00000000-0005-0000-0000-00003E000000}"/>
    <cellStyle name="입력" xfId="63" xr:uid="{00000000-0005-0000-0000-00003F000000}"/>
    <cellStyle name="제목" xfId="64" xr:uid="{00000000-0005-0000-0000-000040000000}"/>
    <cellStyle name="제목 1" xfId="65" xr:uid="{00000000-0005-0000-0000-000041000000}"/>
    <cellStyle name="제목 2" xfId="66" xr:uid="{00000000-0005-0000-0000-000042000000}"/>
    <cellStyle name="제목 3" xfId="67" xr:uid="{00000000-0005-0000-0000-000043000000}"/>
    <cellStyle name="제목 4" xfId="68" xr:uid="{00000000-0005-0000-0000-000044000000}"/>
    <cellStyle name="좋음" xfId="69" xr:uid="{00000000-0005-0000-0000-000045000000}"/>
    <cellStyle name="출력" xfId="70" xr:uid="{00000000-0005-0000-0000-000046000000}"/>
    <cellStyle name="一般_13-8201-1" xfId="71" xr:uid="{00000000-0005-0000-0000-000047000000}"/>
    <cellStyle name="一般_HK-PL.MI.Mexico.Suburbia.BBJ-10" xfId="72" xr:uid="{00000000-0005-0000-0000-000048000000}"/>
    <cellStyle name="千分位_GA00014" xfId="73" xr:uid="{00000000-0005-0000-0000-000049000000}"/>
    <cellStyle name="好" xfId="74" xr:uid="{00000000-0005-0000-0000-00004A000000}"/>
    <cellStyle name="差" xfId="75" xr:uid="{00000000-0005-0000-0000-00004B000000}"/>
    <cellStyle name="常规_ПриложениеNo.1_к_контракту_11RUOR3C008-new" xfId="76" xr:uid="{00000000-0005-0000-0000-00004C000000}"/>
    <cellStyle name="强调文字颜色 1" xfId="77" xr:uid="{00000000-0005-0000-0000-00004D000000}"/>
    <cellStyle name="强调文字颜色 2" xfId="78" xr:uid="{00000000-0005-0000-0000-00004E000000}"/>
    <cellStyle name="强调文字颜色 3" xfId="79" xr:uid="{00000000-0005-0000-0000-00004F000000}"/>
    <cellStyle name="强调文字颜色 4" xfId="80" xr:uid="{00000000-0005-0000-0000-000050000000}"/>
    <cellStyle name="强调文字颜色 5" xfId="81" xr:uid="{00000000-0005-0000-0000-000051000000}"/>
    <cellStyle name="强调文字颜色 6" xfId="82" xr:uid="{00000000-0005-0000-0000-000052000000}"/>
    <cellStyle name="标题" xfId="83" xr:uid="{00000000-0005-0000-0000-000053000000}"/>
    <cellStyle name="标题 1" xfId="84" xr:uid="{00000000-0005-0000-0000-000054000000}"/>
    <cellStyle name="标题 2" xfId="85" xr:uid="{00000000-0005-0000-0000-000055000000}"/>
    <cellStyle name="标题 3" xfId="86" xr:uid="{00000000-0005-0000-0000-000056000000}"/>
    <cellStyle name="标题 4" xfId="87" xr:uid="{00000000-0005-0000-0000-000057000000}"/>
    <cellStyle name="检查单元格" xfId="88" xr:uid="{00000000-0005-0000-0000-000058000000}"/>
    <cellStyle name="汇总" xfId="89" xr:uid="{00000000-0005-0000-0000-000059000000}"/>
    <cellStyle name="注释" xfId="90" xr:uid="{00000000-0005-0000-0000-00005A000000}"/>
    <cellStyle name="解释性文本" xfId="91" xr:uid="{00000000-0005-0000-0000-00005B000000}"/>
    <cellStyle name="警告文本" xfId="92" xr:uid="{00000000-0005-0000-0000-00005C000000}"/>
    <cellStyle name="计算" xfId="93" xr:uid="{00000000-0005-0000-0000-00005D000000}"/>
    <cellStyle name="输入" xfId="94" xr:uid="{00000000-0005-0000-0000-00005E000000}"/>
    <cellStyle name="输出" xfId="95" xr:uid="{00000000-0005-0000-0000-00005F000000}"/>
    <cellStyle name="适中" xfId="96" xr:uid="{00000000-0005-0000-0000-000060000000}"/>
    <cellStyle name="链接单元格" xfId="97" xr:uid="{00000000-0005-0000-0000-000061000000}"/>
  </cellStyles>
  <dxfs count="0"/>
  <tableStyles count="0" defaultTableStyle="TableStyleMedium9" defaultPivotStyle="PivotStyleLight16"/>
  <colors>
    <mruColors>
      <color rgb="FFCC0000"/>
      <color rgb="FFFF00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5FFD6-A9B9-4E36-A245-EEC03BA69A92}">
  <sheetPr>
    <tabColor rgb="FF92D050"/>
    <pageSetUpPr fitToPage="1"/>
  </sheetPr>
  <dimension ref="A1:W33"/>
  <sheetViews>
    <sheetView showGridLines="0" view="pageBreakPreview" topLeftCell="A16" zoomScaleNormal="62" zoomScaleSheetLayoutView="100" workbookViewId="0">
      <selection activeCell="T32" sqref="T32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107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108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1470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M33</f>
        <v>1481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11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N29</f>
        <v>21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88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86</v>
      </c>
      <c r="H18" s="44" t="s">
        <v>87</v>
      </c>
      <c r="I18" s="65">
        <v>6</v>
      </c>
      <c r="J18" s="65">
        <v>8</v>
      </c>
      <c r="K18" s="65">
        <v>10</v>
      </c>
      <c r="L18" s="65">
        <v>12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3</v>
      </c>
      <c r="D19" s="109" t="s">
        <v>109</v>
      </c>
      <c r="E19" s="109"/>
      <c r="F19" s="109"/>
      <c r="G19" s="17">
        <v>80</v>
      </c>
      <c r="H19" s="18"/>
      <c r="I19" s="18"/>
      <c r="J19" s="19"/>
      <c r="K19" s="19"/>
      <c r="L19" s="19"/>
      <c r="M19" s="18">
        <f t="shared" ref="M19:M26" si="0">SUM(G19:L19)</f>
        <v>80</v>
      </c>
      <c r="N19" s="20">
        <v>3</v>
      </c>
      <c r="O19" s="28">
        <f t="shared" ref="O19:O26" si="1">M19*N19</f>
        <v>240</v>
      </c>
      <c r="P19" s="110">
        <v>51</v>
      </c>
      <c r="Q19" s="110">
        <v>28</v>
      </c>
      <c r="R19" s="111">
        <v>22</v>
      </c>
      <c r="S19" s="39">
        <v>5.05</v>
      </c>
      <c r="T19" s="39">
        <f>S19+0.9</f>
        <v>5.95</v>
      </c>
      <c r="U19" s="39">
        <f t="shared" ref="U19:U26" si="2">S19*N19</f>
        <v>15.149999999999999</v>
      </c>
      <c r="V19" s="39">
        <f t="shared" ref="V19:V26" si="3">T19*N19</f>
        <v>17.850000000000001</v>
      </c>
      <c r="W19" s="3"/>
    </row>
    <row r="20" spans="1:23" s="4" customFormat="1" ht="18" customHeight="1">
      <c r="A20" s="25">
        <f>C19+1</f>
        <v>4</v>
      </c>
      <c r="B20" s="26" t="s">
        <v>25</v>
      </c>
      <c r="C20" s="25">
        <f>C19+N20</f>
        <v>7</v>
      </c>
      <c r="D20" s="109"/>
      <c r="E20" s="109"/>
      <c r="F20" s="109"/>
      <c r="G20" s="17"/>
      <c r="H20" s="18">
        <v>80</v>
      </c>
      <c r="I20" s="18"/>
      <c r="J20" s="19"/>
      <c r="K20" s="19"/>
      <c r="L20" s="19"/>
      <c r="M20" s="18">
        <f t="shared" si="0"/>
        <v>80</v>
      </c>
      <c r="N20" s="20">
        <v>4</v>
      </c>
      <c r="O20" s="28">
        <f t="shared" si="1"/>
        <v>320</v>
      </c>
      <c r="P20" s="110"/>
      <c r="Q20" s="110"/>
      <c r="R20" s="111"/>
      <c r="S20" s="39">
        <v>5.7</v>
      </c>
      <c r="T20" s="39">
        <f t="shared" ref="T20:T26" si="4">S20+0.9</f>
        <v>6.6000000000000005</v>
      </c>
      <c r="U20" s="39">
        <f t="shared" si="2"/>
        <v>22.8</v>
      </c>
      <c r="V20" s="39">
        <f t="shared" si="3"/>
        <v>26.400000000000002</v>
      </c>
      <c r="W20" s="3"/>
    </row>
    <row r="21" spans="1:23" s="4" customFormat="1" ht="18" customHeight="1">
      <c r="A21" s="25">
        <f t="shared" ref="A21:A26" si="5">C20+1</f>
        <v>8</v>
      </c>
      <c r="B21" s="26" t="s">
        <v>25</v>
      </c>
      <c r="C21" s="25">
        <f>C20+N21</f>
        <v>12</v>
      </c>
      <c r="D21" s="109"/>
      <c r="E21" s="109"/>
      <c r="F21" s="109"/>
      <c r="G21" s="17"/>
      <c r="H21" s="18"/>
      <c r="I21" s="18">
        <v>70</v>
      </c>
      <c r="J21" s="19"/>
      <c r="K21" s="19"/>
      <c r="L21" s="19"/>
      <c r="M21" s="18">
        <f t="shared" si="0"/>
        <v>70</v>
      </c>
      <c r="N21" s="20">
        <v>5</v>
      </c>
      <c r="O21" s="28">
        <f t="shared" si="1"/>
        <v>350</v>
      </c>
      <c r="P21" s="110"/>
      <c r="Q21" s="110"/>
      <c r="R21" s="111"/>
      <c r="S21" s="39">
        <v>5.8</v>
      </c>
      <c r="T21" s="39">
        <f t="shared" si="4"/>
        <v>6.7</v>
      </c>
      <c r="U21" s="39">
        <f t="shared" si="2"/>
        <v>29</v>
      </c>
      <c r="V21" s="39">
        <f t="shared" si="3"/>
        <v>33.5</v>
      </c>
      <c r="W21" s="3"/>
    </row>
    <row r="22" spans="1:23" s="4" customFormat="1" ht="18" customHeight="1">
      <c r="A22" s="25">
        <f t="shared" si="5"/>
        <v>13</v>
      </c>
      <c r="B22" s="26" t="s">
        <v>25</v>
      </c>
      <c r="C22" s="25">
        <f>C21+N22</f>
        <v>15</v>
      </c>
      <c r="D22" s="109"/>
      <c r="E22" s="109"/>
      <c r="F22" s="109"/>
      <c r="G22" s="17"/>
      <c r="H22" s="18"/>
      <c r="I22" s="18"/>
      <c r="J22" s="19">
        <v>70</v>
      </c>
      <c r="K22" s="19"/>
      <c r="L22" s="19"/>
      <c r="M22" s="18">
        <f t="shared" si="0"/>
        <v>70</v>
      </c>
      <c r="N22" s="20">
        <v>3</v>
      </c>
      <c r="O22" s="28">
        <f t="shared" si="1"/>
        <v>210</v>
      </c>
      <c r="P22" s="110"/>
      <c r="Q22" s="110"/>
      <c r="R22" s="111"/>
      <c r="S22" s="39">
        <v>6.5</v>
      </c>
      <c r="T22" s="39">
        <f t="shared" si="4"/>
        <v>7.4</v>
      </c>
      <c r="U22" s="39">
        <f t="shared" si="2"/>
        <v>19.5</v>
      </c>
      <c r="V22" s="39">
        <f t="shared" si="3"/>
        <v>22.200000000000003</v>
      </c>
      <c r="W22" s="3"/>
    </row>
    <row r="23" spans="1:23" s="4" customFormat="1" ht="18" customHeight="1">
      <c r="A23" s="25">
        <f t="shared" si="5"/>
        <v>16</v>
      </c>
      <c r="B23" s="26" t="s">
        <v>25</v>
      </c>
      <c r="C23" s="25">
        <f>C22+N23</f>
        <v>18</v>
      </c>
      <c r="D23" s="109"/>
      <c r="E23" s="109"/>
      <c r="F23" s="109"/>
      <c r="G23" s="17"/>
      <c r="H23" s="18"/>
      <c r="I23" s="18"/>
      <c r="J23" s="19"/>
      <c r="K23" s="19">
        <v>60</v>
      </c>
      <c r="L23" s="19"/>
      <c r="M23" s="18">
        <f t="shared" si="0"/>
        <v>60</v>
      </c>
      <c r="N23" s="20">
        <v>3</v>
      </c>
      <c r="O23" s="28">
        <f t="shared" si="1"/>
        <v>180</v>
      </c>
      <c r="P23" s="110"/>
      <c r="Q23" s="110"/>
      <c r="R23" s="111"/>
      <c r="S23" s="39">
        <v>6.3</v>
      </c>
      <c r="T23" s="39">
        <f t="shared" si="4"/>
        <v>7.2</v>
      </c>
      <c r="U23" s="39">
        <f t="shared" si="2"/>
        <v>18.899999999999999</v>
      </c>
      <c r="V23" s="39">
        <f t="shared" si="3"/>
        <v>21.6</v>
      </c>
      <c r="W23" s="3"/>
    </row>
    <row r="24" spans="1:23" s="4" customFormat="1" ht="18" customHeight="1">
      <c r="A24" s="25">
        <f t="shared" si="5"/>
        <v>19</v>
      </c>
      <c r="B24" s="26" t="s">
        <v>25</v>
      </c>
      <c r="C24" s="25">
        <f t="shared" ref="C24:C26" si="6">C23+N24</f>
        <v>19</v>
      </c>
      <c r="D24" s="109"/>
      <c r="E24" s="109"/>
      <c r="F24" s="109"/>
      <c r="G24" s="17">
        <v>65</v>
      </c>
      <c r="H24" s="18"/>
      <c r="I24" s="18"/>
      <c r="J24" s="19"/>
      <c r="K24" s="19"/>
      <c r="L24" s="19"/>
      <c r="M24" s="18">
        <f t="shared" si="0"/>
        <v>65</v>
      </c>
      <c r="N24" s="20">
        <v>1</v>
      </c>
      <c r="O24" s="28">
        <f t="shared" si="1"/>
        <v>65</v>
      </c>
      <c r="P24" s="110"/>
      <c r="Q24" s="110"/>
      <c r="R24" s="111"/>
      <c r="S24" s="39">
        <v>4.0999999999999996</v>
      </c>
      <c r="T24" s="39">
        <f t="shared" si="4"/>
        <v>5</v>
      </c>
      <c r="U24" s="39">
        <f t="shared" si="2"/>
        <v>4.0999999999999996</v>
      </c>
      <c r="V24" s="39">
        <f t="shared" si="3"/>
        <v>5</v>
      </c>
      <c r="W24" s="3"/>
    </row>
    <row r="25" spans="1:23" s="4" customFormat="1" ht="18" customHeight="1">
      <c r="A25" s="25">
        <f t="shared" si="5"/>
        <v>20</v>
      </c>
      <c r="B25" s="26" t="s">
        <v>25</v>
      </c>
      <c r="C25" s="25">
        <f t="shared" si="6"/>
        <v>20</v>
      </c>
      <c r="D25" s="109"/>
      <c r="E25" s="109"/>
      <c r="F25" s="109"/>
      <c r="G25" s="17"/>
      <c r="H25" s="18">
        <v>38</v>
      </c>
      <c r="I25" s="18"/>
      <c r="J25" s="19">
        <v>38</v>
      </c>
      <c r="K25" s="19"/>
      <c r="L25" s="19"/>
      <c r="M25" s="18">
        <f t="shared" si="0"/>
        <v>76</v>
      </c>
      <c r="N25" s="20">
        <v>1</v>
      </c>
      <c r="O25" s="28">
        <f t="shared" si="1"/>
        <v>76</v>
      </c>
      <c r="P25" s="110"/>
      <c r="Q25" s="110"/>
      <c r="R25" s="111"/>
      <c r="S25" s="39">
        <v>6.25</v>
      </c>
      <c r="T25" s="39">
        <f t="shared" si="4"/>
        <v>7.15</v>
      </c>
      <c r="U25" s="39">
        <f t="shared" si="2"/>
        <v>6.25</v>
      </c>
      <c r="V25" s="39">
        <f t="shared" si="3"/>
        <v>7.15</v>
      </c>
      <c r="W25" s="3"/>
    </row>
    <row r="26" spans="1:23" s="4" customFormat="1" ht="18" customHeight="1">
      <c r="A26" s="25">
        <f t="shared" si="5"/>
        <v>21</v>
      </c>
      <c r="B26" s="26" t="s">
        <v>25</v>
      </c>
      <c r="C26" s="25">
        <f t="shared" si="6"/>
        <v>21</v>
      </c>
      <c r="D26" s="109"/>
      <c r="E26" s="109"/>
      <c r="F26" s="109"/>
      <c r="G26" s="17"/>
      <c r="H26" s="18"/>
      <c r="I26" s="18"/>
      <c r="J26" s="19"/>
      <c r="K26" s="19">
        <v>40</v>
      </c>
      <c r="L26" s="19"/>
      <c r="M26" s="18">
        <f t="shared" si="0"/>
        <v>40</v>
      </c>
      <c r="N26" s="20">
        <v>1</v>
      </c>
      <c r="O26" s="28">
        <f t="shared" si="1"/>
        <v>40</v>
      </c>
      <c r="P26" s="110"/>
      <c r="Q26" s="110"/>
      <c r="R26" s="111"/>
      <c r="S26" s="39">
        <v>4.2</v>
      </c>
      <c r="T26" s="39">
        <f t="shared" si="4"/>
        <v>5.1000000000000005</v>
      </c>
      <c r="U26" s="39">
        <f t="shared" si="2"/>
        <v>4.2</v>
      </c>
      <c r="V26" s="39">
        <f t="shared" si="3"/>
        <v>5.1000000000000005</v>
      </c>
      <c r="W26" s="3"/>
    </row>
    <row r="27" spans="1:23" s="23" customFormat="1" ht="21.95" customHeight="1">
      <c r="A27" s="112" t="s">
        <v>2</v>
      </c>
      <c r="B27" s="112"/>
      <c r="C27" s="112"/>
      <c r="D27" s="112"/>
      <c r="E27" s="112"/>
      <c r="F27" s="112"/>
      <c r="G27" s="52">
        <f>O19+G24</f>
        <v>305</v>
      </c>
      <c r="H27" s="53">
        <f>O20+H25</f>
        <v>358</v>
      </c>
      <c r="I27" s="53">
        <f>O21+I26</f>
        <v>350</v>
      </c>
      <c r="J27" s="53">
        <f>O22+J25</f>
        <v>248</v>
      </c>
      <c r="K27" s="53">
        <f>O23+K26</f>
        <v>220</v>
      </c>
      <c r="L27" s="53"/>
      <c r="M27" s="54"/>
      <c r="N27" s="55">
        <f>SUM(N19:N26)</f>
        <v>21</v>
      </c>
      <c r="O27" s="56">
        <f>SUM(O19:O26)</f>
        <v>1481</v>
      </c>
      <c r="P27" s="113">
        <f>(P19*Q19*R19)/1000000*N27</f>
        <v>0.65973599999999999</v>
      </c>
      <c r="Q27" s="113"/>
      <c r="R27" s="113"/>
      <c r="S27" s="57"/>
      <c r="T27" s="58"/>
      <c r="U27" s="59">
        <f>SUM(U19:U26)</f>
        <v>119.89999999999999</v>
      </c>
      <c r="V27" s="59">
        <f>SUM(V19:V26)</f>
        <v>138.80000000000001</v>
      </c>
    </row>
    <row r="28" spans="1:23" ht="15" customHeight="1">
      <c r="A28" s="114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6"/>
      <c r="W28" s="2"/>
    </row>
    <row r="29" spans="1:23" s="6" customFormat="1" ht="15" customHeight="1">
      <c r="A29" s="103" t="s">
        <v>5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46"/>
      <c r="N29" s="47">
        <f>N27</f>
        <v>21</v>
      </c>
      <c r="O29" s="48">
        <f>O27</f>
        <v>1481</v>
      </c>
      <c r="P29" s="117">
        <f>P27</f>
        <v>0.65973599999999999</v>
      </c>
      <c r="Q29" s="117"/>
      <c r="R29" s="117"/>
      <c r="S29" s="49"/>
      <c r="T29" s="49"/>
      <c r="U29" s="50">
        <f>U27</f>
        <v>119.89999999999999</v>
      </c>
      <c r="V29" s="50">
        <f>V27</f>
        <v>138.80000000000001</v>
      </c>
      <c r="W29" s="5"/>
    </row>
    <row r="30" spans="1:23" ht="15" customHeight="1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</row>
    <row r="31" spans="1:23" s="7" customFormat="1" ht="30" customHeight="1">
      <c r="A31" s="106" t="s">
        <v>10</v>
      </c>
      <c r="B31" s="106"/>
      <c r="C31" s="106"/>
      <c r="D31" s="103" t="str">
        <f>D17</f>
        <v>COLOR</v>
      </c>
      <c r="E31" s="103"/>
      <c r="F31" s="103"/>
      <c r="G31" s="51" t="str">
        <f t="shared" ref="G31:L31" si="7">G18</f>
        <v>2</v>
      </c>
      <c r="H31" s="51" t="str">
        <f t="shared" si="7"/>
        <v>4</v>
      </c>
      <c r="I31" s="51">
        <f t="shared" si="7"/>
        <v>6</v>
      </c>
      <c r="J31" s="51">
        <f t="shared" si="7"/>
        <v>8</v>
      </c>
      <c r="K31" s="51">
        <f t="shared" si="7"/>
        <v>10</v>
      </c>
      <c r="L31" s="51">
        <f t="shared" si="7"/>
        <v>12</v>
      </c>
      <c r="M31" s="103" t="s">
        <v>2</v>
      </c>
      <c r="N31" s="103"/>
      <c r="O31" s="69"/>
      <c r="P31" s="69"/>
      <c r="S31" s="69"/>
      <c r="T31" s="69"/>
      <c r="U31" s="69"/>
      <c r="V31" s="69"/>
    </row>
    <row r="32" spans="1:23" s="7" customFormat="1" ht="24.95" customHeight="1">
      <c r="A32" s="119" t="s">
        <v>12</v>
      </c>
      <c r="B32" s="119"/>
      <c r="C32" s="119"/>
      <c r="D32" s="120" t="str">
        <f>D19</f>
        <v>Opal Green</v>
      </c>
      <c r="E32" s="121"/>
      <c r="F32" s="121"/>
      <c r="G32" s="64">
        <v>300</v>
      </c>
      <c r="H32" s="64">
        <v>350</v>
      </c>
      <c r="I32" s="64">
        <v>350</v>
      </c>
      <c r="J32" s="64">
        <v>250</v>
      </c>
      <c r="K32" s="64">
        <v>220</v>
      </c>
      <c r="L32" s="64"/>
      <c r="M32" s="122">
        <f>G32+H32+I32+J32+K32+L32</f>
        <v>1470</v>
      </c>
      <c r="N32" s="122"/>
      <c r="O32" s="22"/>
      <c r="P32" s="21"/>
      <c r="S32" s="69"/>
      <c r="T32" s="69"/>
      <c r="U32" s="69"/>
      <c r="V32" s="69"/>
    </row>
    <row r="33" spans="1:22" s="7" customFormat="1" ht="24.95" customHeight="1">
      <c r="A33" s="119" t="s">
        <v>30</v>
      </c>
      <c r="B33" s="119"/>
      <c r="C33" s="119"/>
      <c r="D33" s="121"/>
      <c r="E33" s="121"/>
      <c r="F33" s="121"/>
      <c r="G33" s="64">
        <f t="shared" ref="G33:K33" si="8">G27</f>
        <v>305</v>
      </c>
      <c r="H33" s="64">
        <f t="shared" si="8"/>
        <v>358</v>
      </c>
      <c r="I33" s="64">
        <f t="shared" si="8"/>
        <v>350</v>
      </c>
      <c r="J33" s="64">
        <f t="shared" si="8"/>
        <v>248</v>
      </c>
      <c r="K33" s="64">
        <f t="shared" si="8"/>
        <v>220</v>
      </c>
      <c r="L33" s="64"/>
      <c r="M33" s="122">
        <f>G33+H33+I33+J33+K33+L33</f>
        <v>1481</v>
      </c>
      <c r="N33" s="122"/>
      <c r="O33" s="22"/>
      <c r="P33" s="21"/>
      <c r="S33" s="69"/>
      <c r="T33" s="69"/>
      <c r="U33" s="69"/>
      <c r="V33" s="69"/>
    </row>
  </sheetData>
  <mergeCells count="40">
    <mergeCell ref="A32:C32"/>
    <mergeCell ref="D32:F33"/>
    <mergeCell ref="M32:N32"/>
    <mergeCell ref="A33:C33"/>
    <mergeCell ref="M33:N33"/>
    <mergeCell ref="A28:V28"/>
    <mergeCell ref="A29:L29"/>
    <mergeCell ref="P29:R29"/>
    <mergeCell ref="A30:V30"/>
    <mergeCell ref="A31:C31"/>
    <mergeCell ref="D31:F31"/>
    <mergeCell ref="M31:N31"/>
    <mergeCell ref="D19:F26"/>
    <mergeCell ref="P19:P26"/>
    <mergeCell ref="Q19:Q26"/>
    <mergeCell ref="R19:R26"/>
    <mergeCell ref="A27:F27"/>
    <mergeCell ref="P27:R27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2E0A9-6CDF-40C6-A37C-D5D20F055351}">
  <sheetPr>
    <tabColor rgb="FFFF5050"/>
    <pageSetUpPr fitToPage="1"/>
  </sheetPr>
  <dimension ref="A1:W33"/>
  <sheetViews>
    <sheetView showGridLines="0" view="pageBreakPreview" topLeftCell="A15" zoomScaleNormal="62" zoomScaleSheetLayoutView="100" workbookViewId="0">
      <selection activeCell="S27" sqref="S27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110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111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1700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M33</f>
        <v>1738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38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N29</f>
        <v>25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88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86</v>
      </c>
      <c r="H18" s="44" t="s">
        <v>87</v>
      </c>
      <c r="I18" s="65">
        <v>6</v>
      </c>
      <c r="J18" s="65">
        <v>8</v>
      </c>
      <c r="K18" s="65">
        <v>10</v>
      </c>
      <c r="L18" s="65">
        <v>12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4</v>
      </c>
      <c r="D19" s="109" t="s">
        <v>114</v>
      </c>
      <c r="E19" s="109"/>
      <c r="F19" s="109"/>
      <c r="G19" s="17">
        <v>80</v>
      </c>
      <c r="H19" s="18"/>
      <c r="I19" s="18"/>
      <c r="J19" s="19"/>
      <c r="K19" s="19"/>
      <c r="L19" s="19"/>
      <c r="M19" s="18">
        <f t="shared" ref="M19:M26" si="0">SUM(G19:L19)</f>
        <v>80</v>
      </c>
      <c r="N19" s="20">
        <v>4</v>
      </c>
      <c r="O19" s="28">
        <f t="shared" ref="O19:O26" si="1">M19*N19</f>
        <v>320</v>
      </c>
      <c r="P19" s="110">
        <v>51</v>
      </c>
      <c r="Q19" s="110">
        <v>28</v>
      </c>
      <c r="R19" s="111">
        <v>22</v>
      </c>
      <c r="S19" s="39">
        <v>5.0999999999999996</v>
      </c>
      <c r="T19" s="39">
        <f>S19+0.9</f>
        <v>6</v>
      </c>
      <c r="U19" s="39">
        <f t="shared" ref="U19:U26" si="2">S19*N19</f>
        <v>20.399999999999999</v>
      </c>
      <c r="V19" s="39">
        <f t="shared" ref="V19:V26" si="3">T19*N19</f>
        <v>24</v>
      </c>
      <c r="W19" s="3"/>
    </row>
    <row r="20" spans="1:23" s="4" customFormat="1" ht="18" customHeight="1">
      <c r="A20" s="25">
        <f>C19+1</f>
        <v>5</v>
      </c>
      <c r="B20" s="26" t="s">
        <v>25</v>
      </c>
      <c r="C20" s="25">
        <f>C19+N20</f>
        <v>7</v>
      </c>
      <c r="D20" s="109"/>
      <c r="E20" s="109"/>
      <c r="F20" s="109"/>
      <c r="G20" s="17"/>
      <c r="H20" s="18">
        <v>80</v>
      </c>
      <c r="I20" s="18"/>
      <c r="J20" s="19"/>
      <c r="K20" s="19"/>
      <c r="L20" s="19"/>
      <c r="M20" s="18">
        <f t="shared" si="0"/>
        <v>80</v>
      </c>
      <c r="N20" s="20">
        <v>3</v>
      </c>
      <c r="O20" s="28">
        <f t="shared" si="1"/>
        <v>240</v>
      </c>
      <c r="P20" s="110"/>
      <c r="Q20" s="110"/>
      <c r="R20" s="111"/>
      <c r="S20" s="39">
        <v>5.7</v>
      </c>
      <c r="T20" s="39">
        <f t="shared" ref="T20:T26" si="4">S20+0.9</f>
        <v>6.6000000000000005</v>
      </c>
      <c r="U20" s="39">
        <f t="shared" si="2"/>
        <v>17.100000000000001</v>
      </c>
      <c r="V20" s="39">
        <f t="shared" si="3"/>
        <v>19.8</v>
      </c>
      <c r="W20" s="3"/>
    </row>
    <row r="21" spans="1:23" s="4" customFormat="1" ht="18" customHeight="1">
      <c r="A21" s="25">
        <f t="shared" ref="A21:A26" si="5">C20+1</f>
        <v>8</v>
      </c>
      <c r="B21" s="26" t="s">
        <v>25</v>
      </c>
      <c r="C21" s="25">
        <f>C20+N21</f>
        <v>12</v>
      </c>
      <c r="D21" s="109"/>
      <c r="E21" s="109"/>
      <c r="F21" s="109"/>
      <c r="G21" s="17"/>
      <c r="H21" s="18"/>
      <c r="I21" s="18">
        <v>70</v>
      </c>
      <c r="J21" s="19"/>
      <c r="K21" s="19"/>
      <c r="L21" s="19"/>
      <c r="M21" s="18">
        <f t="shared" si="0"/>
        <v>70</v>
      </c>
      <c r="N21" s="20">
        <v>5</v>
      </c>
      <c r="O21" s="28">
        <f t="shared" si="1"/>
        <v>350</v>
      </c>
      <c r="P21" s="110"/>
      <c r="Q21" s="110"/>
      <c r="R21" s="111"/>
      <c r="S21" s="39">
        <v>5.8</v>
      </c>
      <c r="T21" s="39">
        <f t="shared" si="4"/>
        <v>6.7</v>
      </c>
      <c r="U21" s="39">
        <f t="shared" si="2"/>
        <v>29</v>
      </c>
      <c r="V21" s="39">
        <f t="shared" si="3"/>
        <v>33.5</v>
      </c>
      <c r="W21" s="3"/>
    </row>
    <row r="22" spans="1:23" s="4" customFormat="1" ht="18" customHeight="1">
      <c r="A22" s="25">
        <f t="shared" si="5"/>
        <v>13</v>
      </c>
      <c r="B22" s="26" t="s">
        <v>25</v>
      </c>
      <c r="C22" s="25">
        <f>C21+N22</f>
        <v>17</v>
      </c>
      <c r="D22" s="109"/>
      <c r="E22" s="109"/>
      <c r="F22" s="109"/>
      <c r="G22" s="17"/>
      <c r="H22" s="18"/>
      <c r="I22" s="18"/>
      <c r="J22" s="19">
        <v>70</v>
      </c>
      <c r="K22" s="19"/>
      <c r="L22" s="19"/>
      <c r="M22" s="18">
        <f t="shared" si="0"/>
        <v>70</v>
      </c>
      <c r="N22" s="20">
        <v>5</v>
      </c>
      <c r="O22" s="28">
        <f t="shared" si="1"/>
        <v>350</v>
      </c>
      <c r="P22" s="110"/>
      <c r="Q22" s="110"/>
      <c r="R22" s="111"/>
      <c r="S22" s="39">
        <v>6.6</v>
      </c>
      <c r="T22" s="39">
        <f t="shared" si="4"/>
        <v>7.5</v>
      </c>
      <c r="U22" s="39">
        <f t="shared" si="2"/>
        <v>33</v>
      </c>
      <c r="V22" s="39">
        <f t="shared" si="3"/>
        <v>37.5</v>
      </c>
      <c r="W22" s="3"/>
    </row>
    <row r="23" spans="1:23" s="4" customFormat="1" ht="18" customHeight="1">
      <c r="A23" s="25">
        <f t="shared" si="5"/>
        <v>18</v>
      </c>
      <c r="B23" s="26" t="s">
        <v>25</v>
      </c>
      <c r="C23" s="25">
        <f>C22+N23</f>
        <v>22</v>
      </c>
      <c r="D23" s="109"/>
      <c r="E23" s="109"/>
      <c r="F23" s="109"/>
      <c r="G23" s="17"/>
      <c r="H23" s="18"/>
      <c r="I23" s="18"/>
      <c r="J23" s="19"/>
      <c r="K23" s="19">
        <v>60</v>
      </c>
      <c r="L23" s="19"/>
      <c r="M23" s="18">
        <f t="shared" si="0"/>
        <v>60</v>
      </c>
      <c r="N23" s="20">
        <v>5</v>
      </c>
      <c r="O23" s="28">
        <f t="shared" si="1"/>
        <v>300</v>
      </c>
      <c r="P23" s="110"/>
      <c r="Q23" s="110"/>
      <c r="R23" s="111"/>
      <c r="S23" s="39">
        <v>6.4</v>
      </c>
      <c r="T23" s="39">
        <f t="shared" si="4"/>
        <v>7.3000000000000007</v>
      </c>
      <c r="U23" s="39">
        <f t="shared" si="2"/>
        <v>32</v>
      </c>
      <c r="V23" s="39">
        <f t="shared" si="3"/>
        <v>36.5</v>
      </c>
      <c r="W23" s="3"/>
    </row>
    <row r="24" spans="1:23" s="4" customFormat="1" ht="18" customHeight="1">
      <c r="A24" s="25">
        <f t="shared" si="5"/>
        <v>23</v>
      </c>
      <c r="B24" s="26" t="s">
        <v>25</v>
      </c>
      <c r="C24" s="25">
        <f t="shared" ref="C24:C26" si="6">C23+N24</f>
        <v>23</v>
      </c>
      <c r="D24" s="109"/>
      <c r="E24" s="109"/>
      <c r="F24" s="109"/>
      <c r="G24" s="17"/>
      <c r="H24" s="18">
        <v>62</v>
      </c>
      <c r="I24" s="18"/>
      <c r="J24" s="19"/>
      <c r="K24" s="19"/>
      <c r="L24" s="19"/>
      <c r="M24" s="18">
        <f t="shared" si="0"/>
        <v>62</v>
      </c>
      <c r="N24" s="20">
        <v>1</v>
      </c>
      <c r="O24" s="28">
        <f t="shared" si="1"/>
        <v>62</v>
      </c>
      <c r="P24" s="110"/>
      <c r="Q24" s="110"/>
      <c r="R24" s="111"/>
      <c r="S24" s="39">
        <v>4.5</v>
      </c>
      <c r="T24" s="39">
        <f t="shared" si="4"/>
        <v>5.4</v>
      </c>
      <c r="U24" s="39">
        <f t="shared" si="2"/>
        <v>4.5</v>
      </c>
      <c r="V24" s="39">
        <f t="shared" si="3"/>
        <v>5.4</v>
      </c>
      <c r="W24" s="3"/>
    </row>
    <row r="25" spans="1:23" s="4" customFormat="1" ht="18" customHeight="1">
      <c r="A25" s="25">
        <f t="shared" si="5"/>
        <v>24</v>
      </c>
      <c r="B25" s="26" t="s">
        <v>25</v>
      </c>
      <c r="C25" s="25">
        <f t="shared" si="6"/>
        <v>24</v>
      </c>
      <c r="D25" s="109"/>
      <c r="E25" s="109"/>
      <c r="F25" s="109"/>
      <c r="G25" s="17"/>
      <c r="H25" s="18"/>
      <c r="I25" s="18">
        <v>62</v>
      </c>
      <c r="J25" s="19"/>
      <c r="K25" s="19"/>
      <c r="L25" s="19"/>
      <c r="M25" s="18">
        <f t="shared" si="0"/>
        <v>62</v>
      </c>
      <c r="N25" s="20">
        <v>1</v>
      </c>
      <c r="O25" s="28">
        <f t="shared" si="1"/>
        <v>62</v>
      </c>
      <c r="P25" s="110"/>
      <c r="Q25" s="110"/>
      <c r="R25" s="111"/>
      <c r="S25" s="39">
        <v>5.0999999999999996</v>
      </c>
      <c r="T25" s="39">
        <f t="shared" si="4"/>
        <v>6</v>
      </c>
      <c r="U25" s="39">
        <f t="shared" si="2"/>
        <v>5.0999999999999996</v>
      </c>
      <c r="V25" s="39">
        <f t="shared" si="3"/>
        <v>6</v>
      </c>
      <c r="W25" s="3"/>
    </row>
    <row r="26" spans="1:23" s="4" customFormat="1" ht="18" customHeight="1">
      <c r="A26" s="25">
        <f t="shared" si="5"/>
        <v>25</v>
      </c>
      <c r="B26" s="26" t="s">
        <v>25</v>
      </c>
      <c r="C26" s="25">
        <f t="shared" si="6"/>
        <v>25</v>
      </c>
      <c r="D26" s="109"/>
      <c r="E26" s="109"/>
      <c r="F26" s="109"/>
      <c r="G26" s="17">
        <v>35</v>
      </c>
      <c r="H26" s="18"/>
      <c r="I26" s="18"/>
      <c r="J26" s="19">
        <v>13</v>
      </c>
      <c r="K26" s="19">
        <v>6</v>
      </c>
      <c r="L26" s="19"/>
      <c r="M26" s="18">
        <f t="shared" si="0"/>
        <v>54</v>
      </c>
      <c r="N26" s="20">
        <v>1</v>
      </c>
      <c r="O26" s="28">
        <f t="shared" si="1"/>
        <v>54</v>
      </c>
      <c r="P26" s="110"/>
      <c r="Q26" s="110"/>
      <c r="R26" s="111"/>
      <c r="S26" s="39">
        <v>4.2</v>
      </c>
      <c r="T26" s="39">
        <f t="shared" si="4"/>
        <v>5.1000000000000005</v>
      </c>
      <c r="U26" s="39">
        <f t="shared" si="2"/>
        <v>4.2</v>
      </c>
      <c r="V26" s="39">
        <f t="shared" si="3"/>
        <v>5.1000000000000005</v>
      </c>
      <c r="W26" s="3"/>
    </row>
    <row r="27" spans="1:23" s="23" customFormat="1" ht="21.95" customHeight="1">
      <c r="A27" s="112" t="s">
        <v>2</v>
      </c>
      <c r="B27" s="112"/>
      <c r="C27" s="112"/>
      <c r="D27" s="112"/>
      <c r="E27" s="112"/>
      <c r="F27" s="112"/>
      <c r="G27" s="52">
        <f>O19+G26</f>
        <v>355</v>
      </c>
      <c r="H27" s="53">
        <f>O20+H24</f>
        <v>302</v>
      </c>
      <c r="I27" s="53">
        <f>O21+I25</f>
        <v>412</v>
      </c>
      <c r="J27" s="53">
        <f>O22+J26</f>
        <v>363</v>
      </c>
      <c r="K27" s="53">
        <f>O23+K26</f>
        <v>306</v>
      </c>
      <c r="L27" s="53"/>
      <c r="M27" s="54"/>
      <c r="N27" s="55">
        <f>SUM(N19:N26)</f>
        <v>25</v>
      </c>
      <c r="O27" s="56">
        <f>SUM(O19:O26)</f>
        <v>1738</v>
      </c>
      <c r="P27" s="113">
        <f>(P19*Q19*R19)/1000000*N27</f>
        <v>0.78539999999999999</v>
      </c>
      <c r="Q27" s="113"/>
      <c r="R27" s="113"/>
      <c r="S27" s="57"/>
      <c r="T27" s="58"/>
      <c r="U27" s="59">
        <f>SUM(U19:U26)</f>
        <v>145.29999999999998</v>
      </c>
      <c r="V27" s="59">
        <f>SUM(V19:V26)</f>
        <v>167.8</v>
      </c>
    </row>
    <row r="28" spans="1:23" ht="15" customHeight="1">
      <c r="A28" s="114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6"/>
      <c r="W28" s="2"/>
    </row>
    <row r="29" spans="1:23" s="6" customFormat="1" ht="15" customHeight="1">
      <c r="A29" s="103" t="s">
        <v>5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46"/>
      <c r="N29" s="47">
        <f>N27</f>
        <v>25</v>
      </c>
      <c r="O29" s="48">
        <f>O27</f>
        <v>1738</v>
      </c>
      <c r="P29" s="117">
        <f>P27</f>
        <v>0.78539999999999999</v>
      </c>
      <c r="Q29" s="117"/>
      <c r="R29" s="117"/>
      <c r="S29" s="49"/>
      <c r="T29" s="49"/>
      <c r="U29" s="50">
        <f>U27</f>
        <v>145.29999999999998</v>
      </c>
      <c r="V29" s="50">
        <f>V27</f>
        <v>167.8</v>
      </c>
      <c r="W29" s="5"/>
    </row>
    <row r="30" spans="1:23" ht="15" customHeight="1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</row>
    <row r="31" spans="1:23" s="7" customFormat="1" ht="30" customHeight="1">
      <c r="A31" s="106" t="s">
        <v>10</v>
      </c>
      <c r="B31" s="106"/>
      <c r="C31" s="106"/>
      <c r="D31" s="103" t="str">
        <f>D17</f>
        <v>COLOR</v>
      </c>
      <c r="E31" s="103"/>
      <c r="F31" s="103"/>
      <c r="G31" s="51" t="str">
        <f t="shared" ref="G31:L31" si="7">G18</f>
        <v>2</v>
      </c>
      <c r="H31" s="51" t="str">
        <f t="shared" si="7"/>
        <v>4</v>
      </c>
      <c r="I31" s="51">
        <f t="shared" si="7"/>
        <v>6</v>
      </c>
      <c r="J31" s="51">
        <f t="shared" si="7"/>
        <v>8</v>
      </c>
      <c r="K31" s="51">
        <f t="shared" si="7"/>
        <v>10</v>
      </c>
      <c r="L31" s="51">
        <f t="shared" si="7"/>
        <v>12</v>
      </c>
      <c r="M31" s="103" t="s">
        <v>2</v>
      </c>
      <c r="N31" s="103"/>
      <c r="O31" s="69"/>
      <c r="P31" s="69"/>
      <c r="S31" s="69"/>
      <c r="T31" s="69"/>
      <c r="U31" s="69"/>
      <c r="V31" s="69"/>
    </row>
    <row r="32" spans="1:23" s="7" customFormat="1" ht="24.95" customHeight="1">
      <c r="A32" s="119" t="s">
        <v>12</v>
      </c>
      <c r="B32" s="119"/>
      <c r="C32" s="119"/>
      <c r="D32" s="120" t="str">
        <f>D19</f>
        <v>Sky Blue</v>
      </c>
      <c r="E32" s="121"/>
      <c r="F32" s="121"/>
      <c r="G32" s="64">
        <v>350</v>
      </c>
      <c r="H32" s="64">
        <v>300</v>
      </c>
      <c r="I32" s="64">
        <v>400</v>
      </c>
      <c r="J32" s="64">
        <v>350</v>
      </c>
      <c r="K32" s="64">
        <v>300</v>
      </c>
      <c r="L32" s="64"/>
      <c r="M32" s="122">
        <f>G32+H32+I32+J32+K32+L32</f>
        <v>1700</v>
      </c>
      <c r="N32" s="122"/>
      <c r="O32" s="22"/>
      <c r="P32" s="21"/>
      <c r="S32" s="69"/>
      <c r="T32" s="69"/>
      <c r="U32" s="69"/>
      <c r="V32" s="69"/>
    </row>
    <row r="33" spans="1:22" s="7" customFormat="1" ht="24.95" customHeight="1">
      <c r="A33" s="119" t="s">
        <v>30</v>
      </c>
      <c r="B33" s="119"/>
      <c r="C33" s="119"/>
      <c r="D33" s="121"/>
      <c r="E33" s="121"/>
      <c r="F33" s="121"/>
      <c r="G33" s="64">
        <f t="shared" ref="G33:K33" si="8">G27</f>
        <v>355</v>
      </c>
      <c r="H33" s="64">
        <f t="shared" si="8"/>
        <v>302</v>
      </c>
      <c r="I33" s="64">
        <f t="shared" si="8"/>
        <v>412</v>
      </c>
      <c r="J33" s="64">
        <f t="shared" si="8"/>
        <v>363</v>
      </c>
      <c r="K33" s="64">
        <f t="shared" si="8"/>
        <v>306</v>
      </c>
      <c r="L33" s="64">
        <f>L27</f>
        <v>0</v>
      </c>
      <c r="M33" s="122">
        <f>G33+H33+I33+J33+K33+L33</f>
        <v>1738</v>
      </c>
      <c r="N33" s="122"/>
      <c r="O33" s="22"/>
      <c r="P33" s="21"/>
      <c r="S33" s="69"/>
      <c r="T33" s="69"/>
      <c r="U33" s="69"/>
      <c r="V33" s="69"/>
    </row>
  </sheetData>
  <mergeCells count="40">
    <mergeCell ref="A32:C32"/>
    <mergeCell ref="D32:F33"/>
    <mergeCell ref="M32:N32"/>
    <mergeCell ref="A33:C33"/>
    <mergeCell ref="M33:N33"/>
    <mergeCell ref="A28:V28"/>
    <mergeCell ref="A29:L29"/>
    <mergeCell ref="P29:R29"/>
    <mergeCell ref="A30:V30"/>
    <mergeCell ref="A31:C31"/>
    <mergeCell ref="D31:F31"/>
    <mergeCell ref="M31:N31"/>
    <mergeCell ref="D19:F26"/>
    <mergeCell ref="P19:P26"/>
    <mergeCell ref="Q19:Q26"/>
    <mergeCell ref="R19:R26"/>
    <mergeCell ref="A27:F27"/>
    <mergeCell ref="P27:R27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6A7C0-567E-4CDE-9CD3-431CA362CB1F}">
  <sheetPr>
    <tabColor rgb="FF92D050"/>
    <pageSetUpPr fitToPage="1"/>
  </sheetPr>
  <dimension ref="A1:W32"/>
  <sheetViews>
    <sheetView showGridLines="0" view="pageBreakPreview" topLeftCell="A18" zoomScaleNormal="62" zoomScaleSheetLayoutView="100" workbookViewId="0">
      <selection activeCell="T32" sqref="T32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112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113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1500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M32</f>
        <v>1531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31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N28</f>
        <v>21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88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86</v>
      </c>
      <c r="H18" s="44" t="s">
        <v>87</v>
      </c>
      <c r="I18" s="65">
        <v>6</v>
      </c>
      <c r="J18" s="65">
        <v>8</v>
      </c>
      <c r="K18" s="65">
        <v>10</v>
      </c>
      <c r="L18" s="65">
        <v>12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3</v>
      </c>
      <c r="D19" s="109" t="s">
        <v>115</v>
      </c>
      <c r="E19" s="109"/>
      <c r="F19" s="109"/>
      <c r="G19" s="17">
        <v>80</v>
      </c>
      <c r="H19" s="18"/>
      <c r="I19" s="18"/>
      <c r="J19" s="19"/>
      <c r="K19" s="19"/>
      <c r="L19" s="19"/>
      <c r="M19" s="18">
        <f t="shared" ref="M19:M25" si="0">SUM(G19:L19)</f>
        <v>80</v>
      </c>
      <c r="N19" s="20">
        <v>3</v>
      </c>
      <c r="O19" s="28">
        <f t="shared" ref="O19:O25" si="1">M19*N19</f>
        <v>240</v>
      </c>
      <c r="P19" s="110">
        <v>51</v>
      </c>
      <c r="Q19" s="110">
        <v>28</v>
      </c>
      <c r="R19" s="111">
        <v>22</v>
      </c>
      <c r="S19" s="39">
        <v>4.9000000000000004</v>
      </c>
      <c r="T19" s="39">
        <f>S19+0.9</f>
        <v>5.8000000000000007</v>
      </c>
      <c r="U19" s="39">
        <f t="shared" ref="U19:U25" si="2">S19*N19</f>
        <v>14.700000000000001</v>
      </c>
      <c r="V19" s="39">
        <f t="shared" ref="V19:V25" si="3">T19*N19</f>
        <v>17.400000000000002</v>
      </c>
      <c r="W19" s="3"/>
    </row>
    <row r="20" spans="1:23" s="4" customFormat="1" ht="18" customHeight="1">
      <c r="A20" s="25">
        <f>C19+1</f>
        <v>4</v>
      </c>
      <c r="B20" s="26" t="s">
        <v>25</v>
      </c>
      <c r="C20" s="25">
        <f>C19+N20</f>
        <v>6</v>
      </c>
      <c r="D20" s="109"/>
      <c r="E20" s="109"/>
      <c r="F20" s="109"/>
      <c r="G20" s="17"/>
      <c r="H20" s="18">
        <v>80</v>
      </c>
      <c r="I20" s="18"/>
      <c r="J20" s="19"/>
      <c r="K20" s="19"/>
      <c r="L20" s="19"/>
      <c r="M20" s="18">
        <f t="shared" si="0"/>
        <v>80</v>
      </c>
      <c r="N20" s="20">
        <v>3</v>
      </c>
      <c r="O20" s="28">
        <f t="shared" si="1"/>
        <v>240</v>
      </c>
      <c r="P20" s="110"/>
      <c r="Q20" s="110"/>
      <c r="R20" s="111"/>
      <c r="S20" s="39">
        <v>5.35</v>
      </c>
      <c r="T20" s="39">
        <f t="shared" ref="T20:T25" si="4">S20+0.9</f>
        <v>6.25</v>
      </c>
      <c r="U20" s="39">
        <f t="shared" si="2"/>
        <v>16.049999999999997</v>
      </c>
      <c r="V20" s="39">
        <f t="shared" si="3"/>
        <v>18.75</v>
      </c>
      <c r="W20" s="3"/>
    </row>
    <row r="21" spans="1:23" s="4" customFormat="1" ht="18" customHeight="1">
      <c r="A21" s="25">
        <f t="shared" ref="A21:A25" si="5">C20+1</f>
        <v>7</v>
      </c>
      <c r="B21" s="26" t="s">
        <v>25</v>
      </c>
      <c r="C21" s="25">
        <f>C20+N21</f>
        <v>11</v>
      </c>
      <c r="D21" s="109"/>
      <c r="E21" s="109"/>
      <c r="F21" s="109"/>
      <c r="G21" s="17"/>
      <c r="H21" s="18"/>
      <c r="I21" s="18">
        <v>70</v>
      </c>
      <c r="J21" s="19"/>
      <c r="K21" s="19"/>
      <c r="L21" s="19"/>
      <c r="M21" s="18">
        <f t="shared" si="0"/>
        <v>70</v>
      </c>
      <c r="N21" s="20">
        <v>5</v>
      </c>
      <c r="O21" s="28">
        <f t="shared" si="1"/>
        <v>350</v>
      </c>
      <c r="P21" s="110"/>
      <c r="Q21" s="110"/>
      <c r="R21" s="111"/>
      <c r="S21" s="39">
        <v>5.45</v>
      </c>
      <c r="T21" s="39">
        <f t="shared" si="4"/>
        <v>6.3500000000000005</v>
      </c>
      <c r="U21" s="39">
        <f t="shared" si="2"/>
        <v>27.25</v>
      </c>
      <c r="V21" s="39">
        <f t="shared" si="3"/>
        <v>31.750000000000004</v>
      </c>
      <c r="W21" s="3"/>
    </row>
    <row r="22" spans="1:23" s="4" customFormat="1" ht="18" customHeight="1">
      <c r="A22" s="25">
        <f t="shared" si="5"/>
        <v>12</v>
      </c>
      <c r="B22" s="26" t="s">
        <v>25</v>
      </c>
      <c r="C22" s="25">
        <f>C21+N22</f>
        <v>15</v>
      </c>
      <c r="D22" s="109"/>
      <c r="E22" s="109"/>
      <c r="F22" s="109"/>
      <c r="G22" s="17"/>
      <c r="H22" s="18"/>
      <c r="I22" s="18"/>
      <c r="J22" s="19">
        <v>70</v>
      </c>
      <c r="K22" s="19"/>
      <c r="L22" s="19"/>
      <c r="M22" s="18">
        <f t="shared" si="0"/>
        <v>70</v>
      </c>
      <c r="N22" s="20">
        <v>4</v>
      </c>
      <c r="O22" s="28">
        <f t="shared" si="1"/>
        <v>280</v>
      </c>
      <c r="P22" s="110"/>
      <c r="Q22" s="110"/>
      <c r="R22" s="111"/>
      <c r="S22" s="39">
        <v>6.3</v>
      </c>
      <c r="T22" s="39">
        <f t="shared" si="4"/>
        <v>7.2</v>
      </c>
      <c r="U22" s="39">
        <f t="shared" si="2"/>
        <v>25.2</v>
      </c>
      <c r="V22" s="39">
        <f t="shared" si="3"/>
        <v>28.8</v>
      </c>
      <c r="W22" s="3"/>
    </row>
    <row r="23" spans="1:23" s="4" customFormat="1" ht="18" customHeight="1">
      <c r="A23" s="25">
        <f t="shared" si="5"/>
        <v>16</v>
      </c>
      <c r="B23" s="26" t="s">
        <v>25</v>
      </c>
      <c r="C23" s="25">
        <f>C22+N23</f>
        <v>19</v>
      </c>
      <c r="D23" s="109"/>
      <c r="E23" s="109"/>
      <c r="F23" s="109"/>
      <c r="G23" s="17"/>
      <c r="H23" s="18"/>
      <c r="I23" s="18"/>
      <c r="J23" s="19"/>
      <c r="K23" s="19">
        <v>60</v>
      </c>
      <c r="L23" s="19"/>
      <c r="M23" s="18">
        <f t="shared" si="0"/>
        <v>60</v>
      </c>
      <c r="N23" s="20">
        <v>4</v>
      </c>
      <c r="O23" s="28">
        <f t="shared" si="1"/>
        <v>240</v>
      </c>
      <c r="P23" s="110"/>
      <c r="Q23" s="110"/>
      <c r="R23" s="111"/>
      <c r="S23" s="39">
        <v>6.05</v>
      </c>
      <c r="T23" s="39">
        <f t="shared" si="4"/>
        <v>6.95</v>
      </c>
      <c r="U23" s="39">
        <f t="shared" si="2"/>
        <v>24.2</v>
      </c>
      <c r="V23" s="39">
        <f t="shared" si="3"/>
        <v>27.8</v>
      </c>
      <c r="W23" s="3"/>
    </row>
    <row r="24" spans="1:23" s="4" customFormat="1" ht="18" customHeight="1">
      <c r="A24" s="25">
        <f t="shared" si="5"/>
        <v>20</v>
      </c>
      <c r="B24" s="26" t="s">
        <v>25</v>
      </c>
      <c r="C24" s="25">
        <f t="shared" ref="C24:C25" si="6">C23+N24</f>
        <v>20</v>
      </c>
      <c r="D24" s="109"/>
      <c r="E24" s="109"/>
      <c r="F24" s="109"/>
      <c r="G24" s="17"/>
      <c r="H24" s="18">
        <v>63</v>
      </c>
      <c r="I24" s="18"/>
      <c r="J24" s="19"/>
      <c r="K24" s="19">
        <v>16</v>
      </c>
      <c r="L24" s="19"/>
      <c r="M24" s="18">
        <f t="shared" si="0"/>
        <v>79</v>
      </c>
      <c r="N24" s="20">
        <v>1</v>
      </c>
      <c r="O24" s="28">
        <f t="shared" si="1"/>
        <v>79</v>
      </c>
      <c r="P24" s="110"/>
      <c r="Q24" s="110"/>
      <c r="R24" s="111"/>
      <c r="S24" s="39">
        <v>6.2</v>
      </c>
      <c r="T24" s="39">
        <f t="shared" si="4"/>
        <v>7.1000000000000005</v>
      </c>
      <c r="U24" s="39">
        <f t="shared" si="2"/>
        <v>6.2</v>
      </c>
      <c r="V24" s="39">
        <f t="shared" si="3"/>
        <v>7.1000000000000005</v>
      </c>
      <c r="W24" s="3"/>
    </row>
    <row r="25" spans="1:23" s="4" customFormat="1" ht="18" customHeight="1">
      <c r="A25" s="25">
        <f t="shared" si="5"/>
        <v>21</v>
      </c>
      <c r="B25" s="26" t="s">
        <v>25</v>
      </c>
      <c r="C25" s="25">
        <f t="shared" si="6"/>
        <v>21</v>
      </c>
      <c r="D25" s="109"/>
      <c r="E25" s="109"/>
      <c r="F25" s="109"/>
      <c r="G25" s="17">
        <v>65</v>
      </c>
      <c r="H25" s="18"/>
      <c r="I25" s="18">
        <v>13</v>
      </c>
      <c r="J25" s="19">
        <v>24</v>
      </c>
      <c r="K25" s="19"/>
      <c r="L25" s="19"/>
      <c r="M25" s="18">
        <f t="shared" si="0"/>
        <v>102</v>
      </c>
      <c r="N25" s="20">
        <v>1</v>
      </c>
      <c r="O25" s="28">
        <f t="shared" si="1"/>
        <v>102</v>
      </c>
      <c r="P25" s="110"/>
      <c r="Q25" s="110"/>
      <c r="R25" s="111"/>
      <c r="S25" s="39">
        <v>7</v>
      </c>
      <c r="T25" s="39">
        <f t="shared" si="4"/>
        <v>7.9</v>
      </c>
      <c r="U25" s="39">
        <f t="shared" si="2"/>
        <v>7</v>
      </c>
      <c r="V25" s="39">
        <f t="shared" si="3"/>
        <v>7.9</v>
      </c>
      <c r="W25" s="3"/>
    </row>
    <row r="26" spans="1:23" s="23" customFormat="1" ht="21.95" customHeight="1">
      <c r="A26" s="112" t="s">
        <v>2</v>
      </c>
      <c r="B26" s="112"/>
      <c r="C26" s="112"/>
      <c r="D26" s="112"/>
      <c r="E26" s="112"/>
      <c r="F26" s="112"/>
      <c r="G26" s="52">
        <f>O19+G25</f>
        <v>305</v>
      </c>
      <c r="H26" s="53">
        <f>O20+H24</f>
        <v>303</v>
      </c>
      <c r="I26" s="53">
        <f>O21+I25</f>
        <v>363</v>
      </c>
      <c r="J26" s="53">
        <f>O22+J25</f>
        <v>304</v>
      </c>
      <c r="K26" s="53">
        <f>O23+K24</f>
        <v>256</v>
      </c>
      <c r="L26" s="53"/>
      <c r="M26" s="54"/>
      <c r="N26" s="55">
        <f>SUM(N19:N25)</f>
        <v>21</v>
      </c>
      <c r="O26" s="56">
        <f>SUM(O19:O25)</f>
        <v>1531</v>
      </c>
      <c r="P26" s="113">
        <f>(P19*Q19*R19)/1000000*N26</f>
        <v>0.65973599999999999</v>
      </c>
      <c r="Q26" s="113"/>
      <c r="R26" s="113"/>
      <c r="S26" s="57"/>
      <c r="T26" s="58"/>
      <c r="U26" s="59">
        <f>SUM(U19:U25)</f>
        <v>120.60000000000001</v>
      </c>
      <c r="V26" s="59">
        <f>SUM(V19:V25)</f>
        <v>139.5</v>
      </c>
    </row>
    <row r="27" spans="1:23" ht="15" customHeight="1">
      <c r="A27" s="114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6"/>
      <c r="W27" s="2"/>
    </row>
    <row r="28" spans="1:23" s="6" customFormat="1" ht="15" customHeight="1">
      <c r="A28" s="103" t="s">
        <v>5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46"/>
      <c r="N28" s="47">
        <f>N26</f>
        <v>21</v>
      </c>
      <c r="O28" s="48">
        <f>O26</f>
        <v>1531</v>
      </c>
      <c r="P28" s="117">
        <f>P26</f>
        <v>0.65973599999999999</v>
      </c>
      <c r="Q28" s="117"/>
      <c r="R28" s="117"/>
      <c r="S28" s="49"/>
      <c r="T28" s="49"/>
      <c r="U28" s="50">
        <f>U26</f>
        <v>120.60000000000001</v>
      </c>
      <c r="V28" s="50">
        <f>V26</f>
        <v>139.5</v>
      </c>
      <c r="W28" s="5"/>
    </row>
    <row r="29" spans="1:23" ht="15" customHeight="1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</row>
    <row r="30" spans="1:23" s="7" customFormat="1" ht="30" customHeight="1">
      <c r="A30" s="106" t="s">
        <v>10</v>
      </c>
      <c r="B30" s="106"/>
      <c r="C30" s="106"/>
      <c r="D30" s="103" t="str">
        <f>D17</f>
        <v>COLOR</v>
      </c>
      <c r="E30" s="103"/>
      <c r="F30" s="103"/>
      <c r="G30" s="51" t="str">
        <f t="shared" ref="G30:L30" si="7">G18</f>
        <v>2</v>
      </c>
      <c r="H30" s="51" t="str">
        <f t="shared" si="7"/>
        <v>4</v>
      </c>
      <c r="I30" s="51">
        <f t="shared" si="7"/>
        <v>6</v>
      </c>
      <c r="J30" s="51">
        <f t="shared" si="7"/>
        <v>8</v>
      </c>
      <c r="K30" s="51">
        <f t="shared" si="7"/>
        <v>10</v>
      </c>
      <c r="L30" s="51">
        <f t="shared" si="7"/>
        <v>12</v>
      </c>
      <c r="M30" s="103" t="s">
        <v>2</v>
      </c>
      <c r="N30" s="103"/>
      <c r="O30" s="69"/>
      <c r="P30" s="69"/>
      <c r="S30" s="69"/>
      <c r="T30" s="69"/>
      <c r="U30" s="69"/>
      <c r="V30" s="69"/>
    </row>
    <row r="31" spans="1:23" s="7" customFormat="1" ht="24.95" customHeight="1">
      <c r="A31" s="119" t="s">
        <v>12</v>
      </c>
      <c r="B31" s="119"/>
      <c r="C31" s="119"/>
      <c r="D31" s="120" t="str">
        <f>D19</f>
        <v>Lilac</v>
      </c>
      <c r="E31" s="121"/>
      <c r="F31" s="121"/>
      <c r="G31" s="64">
        <v>300</v>
      </c>
      <c r="H31" s="64">
        <v>300</v>
      </c>
      <c r="I31" s="64">
        <v>350</v>
      </c>
      <c r="J31" s="64">
        <v>300</v>
      </c>
      <c r="K31" s="64">
        <v>250</v>
      </c>
      <c r="L31" s="64"/>
      <c r="M31" s="122">
        <f>G31+H31+I31+J31+K31+L31</f>
        <v>1500</v>
      </c>
      <c r="N31" s="122"/>
      <c r="O31" s="22"/>
      <c r="P31" s="21"/>
      <c r="S31" s="69"/>
      <c r="T31" s="69"/>
      <c r="U31" s="69"/>
      <c r="V31" s="69"/>
    </row>
    <row r="32" spans="1:23" s="7" customFormat="1" ht="24.95" customHeight="1">
      <c r="A32" s="119" t="s">
        <v>30</v>
      </c>
      <c r="B32" s="119"/>
      <c r="C32" s="119"/>
      <c r="D32" s="121"/>
      <c r="E32" s="121"/>
      <c r="F32" s="121"/>
      <c r="G32" s="64">
        <f t="shared" ref="G32:K32" si="8">G26</f>
        <v>305</v>
      </c>
      <c r="H32" s="64">
        <f t="shared" si="8"/>
        <v>303</v>
      </c>
      <c r="I32" s="64">
        <f t="shared" si="8"/>
        <v>363</v>
      </c>
      <c r="J32" s="64">
        <f t="shared" si="8"/>
        <v>304</v>
      </c>
      <c r="K32" s="64">
        <f t="shared" si="8"/>
        <v>256</v>
      </c>
      <c r="L32" s="64"/>
      <c r="M32" s="122">
        <f>G32+H32+I32+J32+K32+L32</f>
        <v>1531</v>
      </c>
      <c r="N32" s="122"/>
      <c r="O32" s="22"/>
      <c r="P32" s="21"/>
      <c r="S32" s="69"/>
      <c r="T32" s="69"/>
      <c r="U32" s="69"/>
      <c r="V32" s="69"/>
    </row>
  </sheetData>
  <mergeCells count="40">
    <mergeCell ref="A31:C31"/>
    <mergeCell ref="D31:F32"/>
    <mergeCell ref="M31:N31"/>
    <mergeCell ref="A32:C32"/>
    <mergeCell ref="M32:N32"/>
    <mergeCell ref="A27:V27"/>
    <mergeCell ref="A28:L28"/>
    <mergeCell ref="P28:R28"/>
    <mergeCell ref="A29:V29"/>
    <mergeCell ref="A30:C30"/>
    <mergeCell ref="D30:F30"/>
    <mergeCell ref="M30:N30"/>
    <mergeCell ref="D19:F25"/>
    <mergeCell ref="P19:P25"/>
    <mergeCell ref="Q19:Q25"/>
    <mergeCell ref="R19:R25"/>
    <mergeCell ref="A26:F26"/>
    <mergeCell ref="P26:R26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CF5F6-A6F7-4765-9B27-A3E4CEFED448}">
  <sheetPr>
    <tabColor theme="7" tint="-0.249977111117893"/>
    <pageSetUpPr fitToPage="1"/>
  </sheetPr>
  <dimension ref="A1:W33"/>
  <sheetViews>
    <sheetView showGridLines="0" view="pageBreakPreview" topLeftCell="A21" zoomScaleNormal="62" zoomScaleSheetLayoutView="100" workbookViewId="0">
      <selection activeCell="R30" sqref="R30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116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117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2150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M33</f>
        <v>2181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31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N29</f>
        <v>31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88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86</v>
      </c>
      <c r="H18" s="44" t="s">
        <v>87</v>
      </c>
      <c r="I18" s="65">
        <v>6</v>
      </c>
      <c r="J18" s="65">
        <v>8</v>
      </c>
      <c r="K18" s="65">
        <v>10</v>
      </c>
      <c r="L18" s="65">
        <v>12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4</v>
      </c>
      <c r="D19" s="109" t="s">
        <v>118</v>
      </c>
      <c r="E19" s="109"/>
      <c r="F19" s="109"/>
      <c r="G19" s="17">
        <v>80</v>
      </c>
      <c r="H19" s="18"/>
      <c r="I19" s="18"/>
      <c r="J19" s="19"/>
      <c r="K19" s="19"/>
      <c r="L19" s="19"/>
      <c r="M19" s="18">
        <f t="shared" ref="M19:M26" si="0">SUM(G19:L19)</f>
        <v>80</v>
      </c>
      <c r="N19" s="20">
        <v>4</v>
      </c>
      <c r="O19" s="28">
        <f t="shared" ref="O19:O26" si="1">M19*N19</f>
        <v>320</v>
      </c>
      <c r="P19" s="110">
        <v>51</v>
      </c>
      <c r="Q19" s="110">
        <v>28</v>
      </c>
      <c r="R19" s="111">
        <v>22</v>
      </c>
      <c r="S19" s="39">
        <v>5.0999999999999996</v>
      </c>
      <c r="T19" s="39">
        <f>S19+0.9</f>
        <v>6</v>
      </c>
      <c r="U19" s="39">
        <f t="shared" ref="U19:U26" si="2">S19*N19</f>
        <v>20.399999999999999</v>
      </c>
      <c r="V19" s="39">
        <f t="shared" ref="V19:V26" si="3">T19*N19</f>
        <v>24</v>
      </c>
      <c r="W19" s="3"/>
    </row>
    <row r="20" spans="1:23" s="4" customFormat="1" ht="18" customHeight="1">
      <c r="A20" s="25">
        <f>C19+1</f>
        <v>5</v>
      </c>
      <c r="B20" s="26" t="s">
        <v>25</v>
      </c>
      <c r="C20" s="25">
        <f>C19+N20</f>
        <v>9</v>
      </c>
      <c r="D20" s="109"/>
      <c r="E20" s="109"/>
      <c r="F20" s="109"/>
      <c r="G20" s="17"/>
      <c r="H20" s="18">
        <v>80</v>
      </c>
      <c r="I20" s="18"/>
      <c r="J20" s="19"/>
      <c r="K20" s="19"/>
      <c r="L20" s="19"/>
      <c r="M20" s="18">
        <f t="shared" si="0"/>
        <v>80</v>
      </c>
      <c r="N20" s="20">
        <v>5</v>
      </c>
      <c r="O20" s="28">
        <f t="shared" si="1"/>
        <v>400</v>
      </c>
      <c r="P20" s="110"/>
      <c r="Q20" s="110"/>
      <c r="R20" s="111"/>
      <c r="S20" s="39">
        <v>5.7</v>
      </c>
      <c r="T20" s="39">
        <f t="shared" ref="T20:T26" si="4">S20+0.9</f>
        <v>6.6000000000000005</v>
      </c>
      <c r="U20" s="39">
        <f t="shared" si="2"/>
        <v>28.5</v>
      </c>
      <c r="V20" s="39">
        <f t="shared" si="3"/>
        <v>33</v>
      </c>
      <c r="W20" s="3"/>
    </row>
    <row r="21" spans="1:23" s="4" customFormat="1" ht="18" customHeight="1">
      <c r="A21" s="25">
        <f t="shared" ref="A21:A26" si="5">C20+1</f>
        <v>10</v>
      </c>
      <c r="B21" s="26" t="s">
        <v>25</v>
      </c>
      <c r="C21" s="25">
        <f>C20+N21</f>
        <v>13</v>
      </c>
      <c r="D21" s="109"/>
      <c r="E21" s="109"/>
      <c r="F21" s="109"/>
      <c r="G21" s="17"/>
      <c r="H21" s="18"/>
      <c r="I21" s="18">
        <v>70</v>
      </c>
      <c r="J21" s="19"/>
      <c r="K21" s="19"/>
      <c r="L21" s="19"/>
      <c r="M21" s="18">
        <f t="shared" si="0"/>
        <v>70</v>
      </c>
      <c r="N21" s="20">
        <v>4</v>
      </c>
      <c r="O21" s="28">
        <f t="shared" si="1"/>
        <v>280</v>
      </c>
      <c r="P21" s="110"/>
      <c r="Q21" s="110"/>
      <c r="R21" s="111"/>
      <c r="S21" s="39">
        <v>5.8</v>
      </c>
      <c r="T21" s="39">
        <f t="shared" si="4"/>
        <v>6.7</v>
      </c>
      <c r="U21" s="39">
        <f t="shared" si="2"/>
        <v>23.2</v>
      </c>
      <c r="V21" s="39">
        <f t="shared" si="3"/>
        <v>26.8</v>
      </c>
      <c r="W21" s="3"/>
    </row>
    <row r="22" spans="1:23" s="4" customFormat="1" ht="18" customHeight="1">
      <c r="A22" s="25">
        <f t="shared" si="5"/>
        <v>14</v>
      </c>
      <c r="B22" s="26" t="s">
        <v>25</v>
      </c>
      <c r="C22" s="25">
        <f>C21+N22</f>
        <v>18</v>
      </c>
      <c r="D22" s="109"/>
      <c r="E22" s="109"/>
      <c r="F22" s="109"/>
      <c r="G22" s="17"/>
      <c r="H22" s="18"/>
      <c r="I22" s="18"/>
      <c r="J22" s="19">
        <v>70</v>
      </c>
      <c r="K22" s="19"/>
      <c r="L22" s="19"/>
      <c r="M22" s="18">
        <f t="shared" si="0"/>
        <v>70</v>
      </c>
      <c r="N22" s="20">
        <v>5</v>
      </c>
      <c r="O22" s="28">
        <f t="shared" si="1"/>
        <v>350</v>
      </c>
      <c r="P22" s="110"/>
      <c r="Q22" s="110"/>
      <c r="R22" s="111"/>
      <c r="S22" s="39">
        <v>6.6</v>
      </c>
      <c r="T22" s="39">
        <f t="shared" si="4"/>
        <v>7.5</v>
      </c>
      <c r="U22" s="39">
        <f t="shared" si="2"/>
        <v>33</v>
      </c>
      <c r="V22" s="39">
        <f t="shared" si="3"/>
        <v>37.5</v>
      </c>
      <c r="W22" s="3"/>
    </row>
    <row r="23" spans="1:23" s="4" customFormat="1" ht="18" customHeight="1">
      <c r="A23" s="25">
        <f t="shared" si="5"/>
        <v>19</v>
      </c>
      <c r="B23" s="26" t="s">
        <v>25</v>
      </c>
      <c r="C23" s="25">
        <f>C22+N23</f>
        <v>24</v>
      </c>
      <c r="D23" s="109"/>
      <c r="E23" s="109"/>
      <c r="F23" s="109"/>
      <c r="G23" s="17"/>
      <c r="H23" s="18"/>
      <c r="I23" s="18"/>
      <c r="J23" s="19"/>
      <c r="K23" s="19">
        <v>60</v>
      </c>
      <c r="L23" s="19"/>
      <c r="M23" s="18">
        <f t="shared" si="0"/>
        <v>60</v>
      </c>
      <c r="N23" s="20">
        <v>6</v>
      </c>
      <c r="O23" s="28">
        <f t="shared" si="1"/>
        <v>360</v>
      </c>
      <c r="P23" s="110"/>
      <c r="Q23" s="110"/>
      <c r="R23" s="111"/>
      <c r="S23" s="39">
        <v>6.4</v>
      </c>
      <c r="T23" s="39">
        <f t="shared" si="4"/>
        <v>7.3000000000000007</v>
      </c>
      <c r="U23" s="39">
        <f t="shared" si="2"/>
        <v>38.400000000000006</v>
      </c>
      <c r="V23" s="39">
        <f t="shared" si="3"/>
        <v>43.800000000000004</v>
      </c>
      <c r="W23" s="3"/>
    </row>
    <row r="24" spans="1:23" s="4" customFormat="1" ht="18" customHeight="1">
      <c r="A24" s="25">
        <f t="shared" si="5"/>
        <v>25</v>
      </c>
      <c r="B24" s="26" t="s">
        <v>25</v>
      </c>
      <c r="C24" s="25">
        <f t="shared" ref="C24:C26" si="6">C23+N24</f>
        <v>29</v>
      </c>
      <c r="D24" s="109"/>
      <c r="E24" s="109"/>
      <c r="F24" s="109"/>
      <c r="G24" s="17"/>
      <c r="H24" s="18"/>
      <c r="I24" s="18"/>
      <c r="J24" s="19"/>
      <c r="K24" s="19"/>
      <c r="L24" s="19">
        <v>60</v>
      </c>
      <c r="M24" s="18">
        <f t="shared" si="0"/>
        <v>60</v>
      </c>
      <c r="N24" s="20">
        <v>5</v>
      </c>
      <c r="O24" s="28">
        <f t="shared" si="1"/>
        <v>300</v>
      </c>
      <c r="P24" s="110"/>
      <c r="Q24" s="110"/>
      <c r="R24" s="111"/>
      <c r="S24" s="39">
        <v>6.3</v>
      </c>
      <c r="T24" s="39">
        <f t="shared" si="4"/>
        <v>7.2</v>
      </c>
      <c r="U24" s="39">
        <f t="shared" si="2"/>
        <v>31.5</v>
      </c>
      <c r="V24" s="39">
        <f t="shared" si="3"/>
        <v>36</v>
      </c>
      <c r="W24" s="3"/>
    </row>
    <row r="25" spans="1:23" s="4" customFormat="1" ht="18" customHeight="1">
      <c r="A25" s="25">
        <f t="shared" si="5"/>
        <v>30</v>
      </c>
      <c r="B25" s="26" t="s">
        <v>25</v>
      </c>
      <c r="C25" s="25">
        <f t="shared" si="6"/>
        <v>30</v>
      </c>
      <c r="D25" s="109"/>
      <c r="E25" s="109"/>
      <c r="F25" s="109"/>
      <c r="G25" s="17">
        <v>15</v>
      </c>
      <c r="H25" s="18">
        <v>48</v>
      </c>
      <c r="I25" s="18"/>
      <c r="J25" s="19">
        <v>25</v>
      </c>
      <c r="K25" s="19"/>
      <c r="L25" s="19">
        <v>8</v>
      </c>
      <c r="M25" s="18">
        <f t="shared" si="0"/>
        <v>96</v>
      </c>
      <c r="N25" s="20">
        <v>1</v>
      </c>
      <c r="O25" s="28">
        <f t="shared" si="1"/>
        <v>96</v>
      </c>
      <c r="P25" s="110"/>
      <c r="Q25" s="110"/>
      <c r="R25" s="111"/>
      <c r="S25" s="39">
        <v>7.1</v>
      </c>
      <c r="T25" s="39">
        <f t="shared" si="4"/>
        <v>8</v>
      </c>
      <c r="U25" s="39">
        <f t="shared" si="2"/>
        <v>7.1</v>
      </c>
      <c r="V25" s="39">
        <f t="shared" si="3"/>
        <v>8</v>
      </c>
      <c r="W25" s="3"/>
    </row>
    <row r="26" spans="1:23" s="4" customFormat="1" ht="18" customHeight="1">
      <c r="A26" s="25">
        <f t="shared" si="5"/>
        <v>31</v>
      </c>
      <c r="B26" s="26" t="s">
        <v>25</v>
      </c>
      <c r="C26" s="25">
        <f t="shared" si="6"/>
        <v>31</v>
      </c>
      <c r="D26" s="109"/>
      <c r="E26" s="109"/>
      <c r="F26" s="109"/>
      <c r="G26" s="17"/>
      <c r="H26" s="18"/>
      <c r="I26" s="18">
        <v>27</v>
      </c>
      <c r="J26" s="19"/>
      <c r="K26" s="19">
        <v>48</v>
      </c>
      <c r="L26" s="19"/>
      <c r="M26" s="18">
        <f t="shared" si="0"/>
        <v>75</v>
      </c>
      <c r="N26" s="20">
        <v>1</v>
      </c>
      <c r="O26" s="28">
        <f t="shared" si="1"/>
        <v>75</v>
      </c>
      <c r="P26" s="110"/>
      <c r="Q26" s="110"/>
      <c r="R26" s="111"/>
      <c r="S26" s="39">
        <v>6.5</v>
      </c>
      <c r="T26" s="39">
        <f t="shared" si="4"/>
        <v>7.4</v>
      </c>
      <c r="U26" s="39">
        <f t="shared" si="2"/>
        <v>6.5</v>
      </c>
      <c r="V26" s="39">
        <f t="shared" si="3"/>
        <v>7.4</v>
      </c>
      <c r="W26" s="3"/>
    </row>
    <row r="27" spans="1:23" s="23" customFormat="1" ht="21.95" customHeight="1">
      <c r="A27" s="112" t="s">
        <v>2</v>
      </c>
      <c r="B27" s="112"/>
      <c r="C27" s="112"/>
      <c r="D27" s="112"/>
      <c r="E27" s="112"/>
      <c r="F27" s="112"/>
      <c r="G27" s="52">
        <f>O19+G25</f>
        <v>335</v>
      </c>
      <c r="H27" s="53">
        <f>O20+H25</f>
        <v>448</v>
      </c>
      <c r="I27" s="53">
        <f>O21+I26</f>
        <v>307</v>
      </c>
      <c r="J27" s="53">
        <f>O22+J25</f>
        <v>375</v>
      </c>
      <c r="K27" s="53">
        <f>O23+K26</f>
        <v>408</v>
      </c>
      <c r="L27" s="53">
        <f>O24+L25</f>
        <v>308</v>
      </c>
      <c r="M27" s="54"/>
      <c r="N27" s="55">
        <f>SUM(N19:N26)</f>
        <v>31</v>
      </c>
      <c r="O27" s="56">
        <f>SUM(O19:O26)</f>
        <v>2181</v>
      </c>
      <c r="P27" s="113">
        <f>(P19*Q19*R19)/1000000*N27</f>
        <v>0.97389599999999998</v>
      </c>
      <c r="Q27" s="113"/>
      <c r="R27" s="113"/>
      <c r="S27" s="57"/>
      <c r="T27" s="58"/>
      <c r="U27" s="59">
        <f>SUM(U19:U26)</f>
        <v>188.6</v>
      </c>
      <c r="V27" s="59">
        <f>SUM(V19:V26)</f>
        <v>216.5</v>
      </c>
    </row>
    <row r="28" spans="1:23" ht="15" customHeight="1">
      <c r="A28" s="114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6"/>
      <c r="W28" s="2"/>
    </row>
    <row r="29" spans="1:23" s="6" customFormat="1" ht="15" customHeight="1">
      <c r="A29" s="103" t="s">
        <v>5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46"/>
      <c r="N29" s="47">
        <f>N27</f>
        <v>31</v>
      </c>
      <c r="O29" s="48">
        <f>O27</f>
        <v>2181</v>
      </c>
      <c r="P29" s="117">
        <f>P27</f>
        <v>0.97389599999999998</v>
      </c>
      <c r="Q29" s="117"/>
      <c r="R29" s="117"/>
      <c r="S29" s="49"/>
      <c r="T29" s="49"/>
      <c r="U29" s="50">
        <f>U27</f>
        <v>188.6</v>
      </c>
      <c r="V29" s="50">
        <f>V27</f>
        <v>216.5</v>
      </c>
      <c r="W29" s="5"/>
    </row>
    <row r="30" spans="1:23" ht="15" customHeight="1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</row>
    <row r="31" spans="1:23" s="7" customFormat="1" ht="30" customHeight="1">
      <c r="A31" s="106" t="s">
        <v>10</v>
      </c>
      <c r="B31" s="106"/>
      <c r="C31" s="106"/>
      <c r="D31" s="103" t="str">
        <f>D17</f>
        <v>COLOR</v>
      </c>
      <c r="E31" s="103"/>
      <c r="F31" s="103"/>
      <c r="G31" s="51" t="str">
        <f t="shared" ref="G31:L31" si="7">G18</f>
        <v>2</v>
      </c>
      <c r="H31" s="51" t="str">
        <f t="shared" si="7"/>
        <v>4</v>
      </c>
      <c r="I31" s="51">
        <f t="shared" si="7"/>
        <v>6</v>
      </c>
      <c r="J31" s="51">
        <f t="shared" si="7"/>
        <v>8</v>
      </c>
      <c r="K31" s="51">
        <f t="shared" si="7"/>
        <v>10</v>
      </c>
      <c r="L31" s="51">
        <f t="shared" si="7"/>
        <v>12</v>
      </c>
      <c r="M31" s="103" t="s">
        <v>2</v>
      </c>
      <c r="N31" s="103"/>
      <c r="O31" s="69"/>
      <c r="P31" s="69"/>
      <c r="S31" s="69"/>
      <c r="T31" s="69"/>
      <c r="U31" s="69"/>
      <c r="V31" s="69"/>
    </row>
    <row r="32" spans="1:23" s="7" customFormat="1" ht="24.95" customHeight="1">
      <c r="A32" s="119" t="s">
        <v>12</v>
      </c>
      <c r="B32" s="119"/>
      <c r="C32" s="119"/>
      <c r="D32" s="120" t="str">
        <f>D19</f>
        <v>Hot Pink</v>
      </c>
      <c r="E32" s="121"/>
      <c r="F32" s="121"/>
      <c r="G32" s="64">
        <v>350</v>
      </c>
      <c r="H32" s="64">
        <v>450</v>
      </c>
      <c r="I32" s="64">
        <v>300</v>
      </c>
      <c r="J32" s="64">
        <v>350</v>
      </c>
      <c r="K32" s="64">
        <v>400</v>
      </c>
      <c r="L32" s="64">
        <v>300</v>
      </c>
      <c r="M32" s="122">
        <f>G32+H32+I32+J32+K32+L32</f>
        <v>2150</v>
      </c>
      <c r="N32" s="122"/>
      <c r="O32" s="22"/>
      <c r="P32" s="21"/>
      <c r="S32" s="69"/>
      <c r="T32" s="69"/>
      <c r="U32" s="69"/>
      <c r="V32" s="69"/>
    </row>
    <row r="33" spans="1:22" s="7" customFormat="1" ht="24.95" customHeight="1">
      <c r="A33" s="119" t="s">
        <v>30</v>
      </c>
      <c r="B33" s="119"/>
      <c r="C33" s="119"/>
      <c r="D33" s="121"/>
      <c r="E33" s="121"/>
      <c r="F33" s="121"/>
      <c r="G33" s="64">
        <f t="shared" ref="G33:K33" si="8">G27</f>
        <v>335</v>
      </c>
      <c r="H33" s="64">
        <f t="shared" si="8"/>
        <v>448</v>
      </c>
      <c r="I33" s="64">
        <f t="shared" si="8"/>
        <v>307</v>
      </c>
      <c r="J33" s="64">
        <f t="shared" si="8"/>
        <v>375</v>
      </c>
      <c r="K33" s="64">
        <f t="shared" si="8"/>
        <v>408</v>
      </c>
      <c r="L33" s="64">
        <f>L27</f>
        <v>308</v>
      </c>
      <c r="M33" s="122">
        <f>G33+H33+I33+J33+K33+L33</f>
        <v>2181</v>
      </c>
      <c r="N33" s="122"/>
      <c r="O33" s="22"/>
      <c r="P33" s="21"/>
      <c r="S33" s="69"/>
      <c r="T33" s="69"/>
      <c r="U33" s="69"/>
      <c r="V33" s="69"/>
    </row>
  </sheetData>
  <mergeCells count="40">
    <mergeCell ref="A32:C32"/>
    <mergeCell ref="D32:F33"/>
    <mergeCell ref="M32:N32"/>
    <mergeCell ref="A33:C33"/>
    <mergeCell ref="M33:N33"/>
    <mergeCell ref="A28:V28"/>
    <mergeCell ref="A29:L29"/>
    <mergeCell ref="P29:R29"/>
    <mergeCell ref="A30:V30"/>
    <mergeCell ref="A31:C31"/>
    <mergeCell ref="D31:F31"/>
    <mergeCell ref="M31:N31"/>
    <mergeCell ref="D19:F26"/>
    <mergeCell ref="P19:P26"/>
    <mergeCell ref="Q19:Q26"/>
    <mergeCell ref="R19:R26"/>
    <mergeCell ref="A27:F27"/>
    <mergeCell ref="P27:R27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E5014-BA2A-4B8C-BBEC-4A9A814AE833}">
  <sheetPr>
    <tabColor rgb="FFFFC000"/>
    <pageSetUpPr fitToPage="1"/>
  </sheetPr>
  <dimension ref="A1:W34"/>
  <sheetViews>
    <sheetView showGridLines="0" view="pageBreakPreview" topLeftCell="A12" zoomScaleNormal="62" zoomScaleSheetLayoutView="100" workbookViewId="0">
      <selection activeCell="S28" sqref="S28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119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120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1000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M34</f>
        <v>1013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13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N30</f>
        <v>16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89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86</v>
      </c>
      <c r="H18" s="44" t="s">
        <v>87</v>
      </c>
      <c r="I18" s="65">
        <v>6</v>
      </c>
      <c r="J18" s="65">
        <v>8</v>
      </c>
      <c r="K18" s="65">
        <v>10</v>
      </c>
      <c r="L18" s="65">
        <v>12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2</v>
      </c>
      <c r="D19" s="109" t="s">
        <v>121</v>
      </c>
      <c r="E19" s="109"/>
      <c r="F19" s="109"/>
      <c r="G19" s="17">
        <v>80</v>
      </c>
      <c r="H19" s="18"/>
      <c r="I19" s="18"/>
      <c r="J19" s="19"/>
      <c r="K19" s="19"/>
      <c r="L19" s="19"/>
      <c r="M19" s="18">
        <f t="shared" ref="M19:M27" si="0">SUM(G19:L19)</f>
        <v>80</v>
      </c>
      <c r="N19" s="20">
        <v>2</v>
      </c>
      <c r="O19" s="28">
        <f t="shared" ref="O19:O27" si="1">M19*N19</f>
        <v>160</v>
      </c>
      <c r="P19" s="110">
        <v>51</v>
      </c>
      <c r="Q19" s="110">
        <v>28</v>
      </c>
      <c r="R19" s="111">
        <v>22</v>
      </c>
      <c r="S19" s="39">
        <v>5.5</v>
      </c>
      <c r="T19" s="39">
        <f>S19+0.9</f>
        <v>6.4</v>
      </c>
      <c r="U19" s="39">
        <f t="shared" ref="U19:U27" si="2">S19*N19</f>
        <v>11</v>
      </c>
      <c r="V19" s="39">
        <f t="shared" ref="V19:V27" si="3">T19*N19</f>
        <v>12.8</v>
      </c>
      <c r="W19" s="3"/>
    </row>
    <row r="20" spans="1:23" s="4" customFormat="1" ht="18" customHeight="1">
      <c r="A20" s="25">
        <f>C19+1</f>
        <v>3</v>
      </c>
      <c r="B20" s="26" t="s">
        <v>25</v>
      </c>
      <c r="C20" s="25">
        <f>C19+N20</f>
        <v>4</v>
      </c>
      <c r="D20" s="109"/>
      <c r="E20" s="109"/>
      <c r="F20" s="109"/>
      <c r="G20" s="17"/>
      <c r="H20" s="18">
        <v>80</v>
      </c>
      <c r="I20" s="18"/>
      <c r="J20" s="19"/>
      <c r="K20" s="19"/>
      <c r="L20" s="19"/>
      <c r="M20" s="18">
        <f t="shared" si="0"/>
        <v>80</v>
      </c>
      <c r="N20" s="20">
        <v>2</v>
      </c>
      <c r="O20" s="28">
        <f t="shared" si="1"/>
        <v>160</v>
      </c>
      <c r="P20" s="110"/>
      <c r="Q20" s="110"/>
      <c r="R20" s="111"/>
      <c r="S20" s="39">
        <v>6.1</v>
      </c>
      <c r="T20" s="39">
        <f t="shared" ref="T20:T27" si="4">S20+0.9</f>
        <v>7</v>
      </c>
      <c r="U20" s="39">
        <f t="shared" si="2"/>
        <v>12.2</v>
      </c>
      <c r="V20" s="39">
        <f t="shared" si="3"/>
        <v>14</v>
      </c>
      <c r="W20" s="3"/>
    </row>
    <row r="21" spans="1:23" s="4" customFormat="1" ht="18" customHeight="1">
      <c r="A21" s="25">
        <f t="shared" ref="A21:A27" si="5">C20+1</f>
        <v>5</v>
      </c>
      <c r="B21" s="26" t="s">
        <v>25</v>
      </c>
      <c r="C21" s="25">
        <f>C20+N21</f>
        <v>6</v>
      </c>
      <c r="D21" s="109"/>
      <c r="E21" s="109"/>
      <c r="F21" s="109"/>
      <c r="G21" s="17"/>
      <c r="H21" s="18"/>
      <c r="I21" s="18">
        <v>70</v>
      </c>
      <c r="J21" s="19"/>
      <c r="K21" s="19"/>
      <c r="L21" s="19"/>
      <c r="M21" s="18">
        <f t="shared" si="0"/>
        <v>70</v>
      </c>
      <c r="N21" s="20">
        <v>2</v>
      </c>
      <c r="O21" s="28">
        <f t="shared" si="1"/>
        <v>140</v>
      </c>
      <c r="P21" s="110"/>
      <c r="Q21" s="110"/>
      <c r="R21" s="111"/>
      <c r="S21" s="39">
        <v>6.3</v>
      </c>
      <c r="T21" s="39">
        <f t="shared" si="4"/>
        <v>7.2</v>
      </c>
      <c r="U21" s="39">
        <f t="shared" si="2"/>
        <v>12.6</v>
      </c>
      <c r="V21" s="39">
        <f t="shared" si="3"/>
        <v>14.4</v>
      </c>
      <c r="W21" s="3"/>
    </row>
    <row r="22" spans="1:23" s="4" customFormat="1" ht="18" customHeight="1">
      <c r="A22" s="25">
        <f t="shared" si="5"/>
        <v>7</v>
      </c>
      <c r="B22" s="26" t="s">
        <v>25</v>
      </c>
      <c r="C22" s="25">
        <f>C21+N22</f>
        <v>9</v>
      </c>
      <c r="D22" s="109"/>
      <c r="E22" s="109"/>
      <c r="F22" s="109"/>
      <c r="G22" s="17"/>
      <c r="H22" s="18"/>
      <c r="I22" s="18"/>
      <c r="J22" s="19">
        <v>60</v>
      </c>
      <c r="K22" s="19"/>
      <c r="L22" s="19"/>
      <c r="M22" s="18">
        <f t="shared" si="0"/>
        <v>60</v>
      </c>
      <c r="N22" s="20">
        <v>3</v>
      </c>
      <c r="O22" s="28">
        <f t="shared" si="1"/>
        <v>180</v>
      </c>
      <c r="P22" s="110"/>
      <c r="Q22" s="110"/>
      <c r="R22" s="111"/>
      <c r="S22" s="39">
        <v>6.1</v>
      </c>
      <c r="T22" s="39">
        <f t="shared" si="4"/>
        <v>7</v>
      </c>
      <c r="U22" s="39">
        <f t="shared" si="2"/>
        <v>18.299999999999997</v>
      </c>
      <c r="V22" s="39">
        <f t="shared" si="3"/>
        <v>21</v>
      </c>
      <c r="W22" s="3"/>
    </row>
    <row r="23" spans="1:23" s="4" customFormat="1" ht="18" customHeight="1">
      <c r="A23" s="25">
        <f t="shared" si="5"/>
        <v>10</v>
      </c>
      <c r="B23" s="26" t="s">
        <v>25</v>
      </c>
      <c r="C23" s="25">
        <f>C22+N23</f>
        <v>11</v>
      </c>
      <c r="D23" s="109"/>
      <c r="E23" s="109"/>
      <c r="F23" s="109"/>
      <c r="G23" s="17"/>
      <c r="H23" s="18"/>
      <c r="I23" s="18"/>
      <c r="J23" s="19"/>
      <c r="K23" s="19">
        <v>55</v>
      </c>
      <c r="L23" s="19"/>
      <c r="M23" s="18">
        <f t="shared" si="0"/>
        <v>55</v>
      </c>
      <c r="N23" s="20">
        <v>2</v>
      </c>
      <c r="O23" s="28">
        <f t="shared" si="1"/>
        <v>110</v>
      </c>
      <c r="P23" s="110"/>
      <c r="Q23" s="110"/>
      <c r="R23" s="111"/>
      <c r="S23" s="39">
        <v>6.4</v>
      </c>
      <c r="T23" s="39">
        <f t="shared" si="4"/>
        <v>7.3000000000000007</v>
      </c>
      <c r="U23" s="39">
        <f t="shared" si="2"/>
        <v>12.8</v>
      </c>
      <c r="V23" s="39">
        <f t="shared" si="3"/>
        <v>14.600000000000001</v>
      </c>
      <c r="W23" s="3"/>
    </row>
    <row r="24" spans="1:23" s="4" customFormat="1" ht="18" customHeight="1">
      <c r="A24" s="25">
        <f t="shared" si="5"/>
        <v>12</v>
      </c>
      <c r="B24" s="26" t="s">
        <v>25</v>
      </c>
      <c r="C24" s="25">
        <f t="shared" ref="C24:C27" si="6">C23+N24</f>
        <v>13</v>
      </c>
      <c r="D24" s="109"/>
      <c r="E24" s="109"/>
      <c r="F24" s="109"/>
      <c r="G24" s="17"/>
      <c r="H24" s="18"/>
      <c r="I24" s="18"/>
      <c r="J24" s="19"/>
      <c r="K24" s="19"/>
      <c r="L24" s="19">
        <v>50</v>
      </c>
      <c r="M24" s="18">
        <f t="shared" si="0"/>
        <v>50</v>
      </c>
      <c r="N24" s="20">
        <v>2</v>
      </c>
      <c r="O24" s="28">
        <f t="shared" si="1"/>
        <v>100</v>
      </c>
      <c r="P24" s="110"/>
      <c r="Q24" s="110"/>
      <c r="R24" s="111"/>
      <c r="S24" s="39">
        <v>6.6</v>
      </c>
      <c r="T24" s="39">
        <f t="shared" si="4"/>
        <v>7.5</v>
      </c>
      <c r="U24" s="39">
        <f t="shared" si="2"/>
        <v>13.2</v>
      </c>
      <c r="V24" s="39">
        <f t="shared" si="3"/>
        <v>15</v>
      </c>
      <c r="W24" s="3"/>
    </row>
    <row r="25" spans="1:23" s="4" customFormat="1" ht="18" customHeight="1">
      <c r="A25" s="25">
        <f t="shared" si="5"/>
        <v>14</v>
      </c>
      <c r="B25" s="26" t="s">
        <v>25</v>
      </c>
      <c r="C25" s="25">
        <f t="shared" si="6"/>
        <v>14</v>
      </c>
      <c r="D25" s="109"/>
      <c r="E25" s="109"/>
      <c r="F25" s="109"/>
      <c r="G25" s="17"/>
      <c r="H25" s="18">
        <v>56</v>
      </c>
      <c r="I25" s="18"/>
      <c r="J25" s="19"/>
      <c r="K25" s="19"/>
      <c r="L25" s="19"/>
      <c r="M25" s="18">
        <f t="shared" si="0"/>
        <v>56</v>
      </c>
      <c r="N25" s="20">
        <v>1</v>
      </c>
      <c r="O25" s="28">
        <f t="shared" si="1"/>
        <v>56</v>
      </c>
      <c r="P25" s="110"/>
      <c r="Q25" s="110"/>
      <c r="R25" s="111"/>
      <c r="S25" s="39">
        <v>5.0999999999999996</v>
      </c>
      <c r="T25" s="39">
        <f t="shared" si="4"/>
        <v>6</v>
      </c>
      <c r="U25" s="39">
        <f t="shared" si="2"/>
        <v>5.0999999999999996</v>
      </c>
      <c r="V25" s="39">
        <f t="shared" si="3"/>
        <v>6</v>
      </c>
      <c r="W25" s="3"/>
    </row>
    <row r="26" spans="1:23" s="4" customFormat="1" ht="18" customHeight="1">
      <c r="A26" s="25">
        <f t="shared" si="5"/>
        <v>15</v>
      </c>
      <c r="B26" s="26" t="s">
        <v>25</v>
      </c>
      <c r="C26" s="25">
        <f t="shared" si="6"/>
        <v>15</v>
      </c>
      <c r="D26" s="109"/>
      <c r="E26" s="109"/>
      <c r="F26" s="109"/>
      <c r="G26" s="17"/>
      <c r="H26" s="18"/>
      <c r="I26" s="18">
        <v>67</v>
      </c>
      <c r="J26" s="19"/>
      <c r="K26" s="19"/>
      <c r="L26" s="19"/>
      <c r="M26" s="18">
        <f t="shared" si="0"/>
        <v>67</v>
      </c>
      <c r="N26" s="20">
        <v>1</v>
      </c>
      <c r="O26" s="28">
        <f t="shared" si="1"/>
        <v>67</v>
      </c>
      <c r="P26" s="110"/>
      <c r="Q26" s="110"/>
      <c r="R26" s="111"/>
      <c r="S26" s="39">
        <v>6</v>
      </c>
      <c r="T26" s="39">
        <f t="shared" si="4"/>
        <v>6.9</v>
      </c>
      <c r="U26" s="39">
        <f t="shared" si="2"/>
        <v>6</v>
      </c>
      <c r="V26" s="39">
        <f t="shared" si="3"/>
        <v>6.9</v>
      </c>
      <c r="W26" s="3"/>
    </row>
    <row r="27" spans="1:23" s="4" customFormat="1" ht="18" customHeight="1">
      <c r="A27" s="25">
        <f t="shared" si="5"/>
        <v>16</v>
      </c>
      <c r="B27" s="26" t="s">
        <v>25</v>
      </c>
      <c r="C27" s="25">
        <f t="shared" si="6"/>
        <v>16</v>
      </c>
      <c r="D27" s="109"/>
      <c r="E27" s="109"/>
      <c r="F27" s="109"/>
      <c r="G27" s="17">
        <v>29</v>
      </c>
      <c r="H27" s="18"/>
      <c r="I27" s="18"/>
      <c r="J27" s="19">
        <v>3</v>
      </c>
      <c r="K27" s="19">
        <v>6</v>
      </c>
      <c r="L27" s="19">
        <v>2</v>
      </c>
      <c r="M27" s="18">
        <f t="shared" si="0"/>
        <v>40</v>
      </c>
      <c r="N27" s="20">
        <v>1</v>
      </c>
      <c r="O27" s="28">
        <f t="shared" si="1"/>
        <v>40</v>
      </c>
      <c r="P27" s="110"/>
      <c r="Q27" s="110"/>
      <c r="R27" s="111"/>
      <c r="S27" s="39">
        <v>3</v>
      </c>
      <c r="T27" s="39">
        <f t="shared" si="4"/>
        <v>3.9</v>
      </c>
      <c r="U27" s="39">
        <f t="shared" si="2"/>
        <v>3</v>
      </c>
      <c r="V27" s="39">
        <f t="shared" si="3"/>
        <v>3.9</v>
      </c>
      <c r="W27" s="3"/>
    </row>
    <row r="28" spans="1:23" s="23" customFormat="1" ht="21.95" customHeight="1">
      <c r="A28" s="112" t="s">
        <v>2</v>
      </c>
      <c r="B28" s="112"/>
      <c r="C28" s="112"/>
      <c r="D28" s="112"/>
      <c r="E28" s="112"/>
      <c r="F28" s="112"/>
      <c r="G28" s="52">
        <f>O19+G27</f>
        <v>189</v>
      </c>
      <c r="H28" s="53">
        <f>O20+H25</f>
        <v>216</v>
      </c>
      <c r="I28" s="53">
        <f>O21+I26</f>
        <v>207</v>
      </c>
      <c r="J28" s="53">
        <f>O22+J27</f>
        <v>183</v>
      </c>
      <c r="K28" s="53">
        <f>O23+K27</f>
        <v>116</v>
      </c>
      <c r="L28" s="53">
        <f>O24+L27</f>
        <v>102</v>
      </c>
      <c r="M28" s="54"/>
      <c r="N28" s="55">
        <f>SUM(N19:N27)</f>
        <v>16</v>
      </c>
      <c r="O28" s="56">
        <f>SUM(O19:O27)</f>
        <v>1013</v>
      </c>
      <c r="P28" s="113">
        <f>(P19*Q19*R19)/1000000*N28</f>
        <v>0.50265599999999999</v>
      </c>
      <c r="Q28" s="113"/>
      <c r="R28" s="113"/>
      <c r="S28" s="57"/>
      <c r="T28" s="58"/>
      <c r="U28" s="59">
        <f>SUM(U19:U27)</f>
        <v>94.199999999999989</v>
      </c>
      <c r="V28" s="59">
        <f>SUM(V19:V27)</f>
        <v>108.60000000000002</v>
      </c>
    </row>
    <row r="29" spans="1:23" ht="15" customHeight="1">
      <c r="A29" s="114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6"/>
      <c r="W29" s="2"/>
    </row>
    <row r="30" spans="1:23" s="6" customFormat="1" ht="15" customHeight="1">
      <c r="A30" s="103" t="s">
        <v>5</v>
      </c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46"/>
      <c r="N30" s="47">
        <f>N28</f>
        <v>16</v>
      </c>
      <c r="O30" s="48">
        <f>O28</f>
        <v>1013</v>
      </c>
      <c r="P30" s="117">
        <f>P28</f>
        <v>0.50265599999999999</v>
      </c>
      <c r="Q30" s="117"/>
      <c r="R30" s="117"/>
      <c r="S30" s="49"/>
      <c r="T30" s="49"/>
      <c r="U30" s="50">
        <f>U28</f>
        <v>94.199999999999989</v>
      </c>
      <c r="V30" s="50">
        <f>V28</f>
        <v>108.60000000000002</v>
      </c>
      <c r="W30" s="5"/>
    </row>
    <row r="31" spans="1:23" ht="15" customHeight="1">
      <c r="A31" s="118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</row>
    <row r="32" spans="1:23" s="7" customFormat="1" ht="30" customHeight="1">
      <c r="A32" s="106" t="s">
        <v>10</v>
      </c>
      <c r="B32" s="106"/>
      <c r="C32" s="106"/>
      <c r="D32" s="103" t="str">
        <f>D17</f>
        <v>COLOR</v>
      </c>
      <c r="E32" s="103"/>
      <c r="F32" s="103"/>
      <c r="G32" s="51" t="str">
        <f t="shared" ref="G32:L32" si="7">G18</f>
        <v>2</v>
      </c>
      <c r="H32" s="51" t="str">
        <f t="shared" si="7"/>
        <v>4</v>
      </c>
      <c r="I32" s="51">
        <f t="shared" si="7"/>
        <v>6</v>
      </c>
      <c r="J32" s="51">
        <f t="shared" si="7"/>
        <v>8</v>
      </c>
      <c r="K32" s="51">
        <f t="shared" si="7"/>
        <v>10</v>
      </c>
      <c r="L32" s="51">
        <f t="shared" si="7"/>
        <v>12</v>
      </c>
      <c r="M32" s="103" t="s">
        <v>2</v>
      </c>
      <c r="N32" s="103"/>
      <c r="O32" s="69"/>
      <c r="P32" s="69"/>
      <c r="S32" s="69"/>
      <c r="T32" s="69"/>
      <c r="U32" s="69"/>
      <c r="V32" s="69"/>
    </row>
    <row r="33" spans="1:22" s="7" customFormat="1" ht="24.95" customHeight="1">
      <c r="A33" s="119" t="s">
        <v>12</v>
      </c>
      <c r="B33" s="119"/>
      <c r="C33" s="119"/>
      <c r="D33" s="120" t="str">
        <f>D19</f>
        <v>Surf Blue</v>
      </c>
      <c r="E33" s="121"/>
      <c r="F33" s="121"/>
      <c r="G33" s="64">
        <v>200</v>
      </c>
      <c r="H33" s="64">
        <v>210</v>
      </c>
      <c r="I33" s="64">
        <v>200</v>
      </c>
      <c r="J33" s="64">
        <v>180</v>
      </c>
      <c r="K33" s="64">
        <v>110</v>
      </c>
      <c r="L33" s="64">
        <v>100</v>
      </c>
      <c r="M33" s="122">
        <f>G33+H33+I33+J33+K33+L33</f>
        <v>1000</v>
      </c>
      <c r="N33" s="122"/>
      <c r="O33" s="22"/>
      <c r="P33" s="21"/>
      <c r="S33" s="69"/>
      <c r="T33" s="69"/>
      <c r="U33" s="69"/>
      <c r="V33" s="69"/>
    </row>
    <row r="34" spans="1:22" s="7" customFormat="1" ht="24.95" customHeight="1">
      <c r="A34" s="119" t="s">
        <v>30</v>
      </c>
      <c r="B34" s="119"/>
      <c r="C34" s="119"/>
      <c r="D34" s="121"/>
      <c r="E34" s="121"/>
      <c r="F34" s="121"/>
      <c r="G34" s="64">
        <f t="shared" ref="G34:K34" si="8">G28</f>
        <v>189</v>
      </c>
      <c r="H34" s="64">
        <f t="shared" si="8"/>
        <v>216</v>
      </c>
      <c r="I34" s="64">
        <f t="shared" si="8"/>
        <v>207</v>
      </c>
      <c r="J34" s="64">
        <f t="shared" si="8"/>
        <v>183</v>
      </c>
      <c r="K34" s="64">
        <f t="shared" si="8"/>
        <v>116</v>
      </c>
      <c r="L34" s="64">
        <f>L28</f>
        <v>102</v>
      </c>
      <c r="M34" s="122">
        <f>G34+H34+I34+J34+K34+L34</f>
        <v>1013</v>
      </c>
      <c r="N34" s="122"/>
      <c r="O34" s="22"/>
      <c r="P34" s="21"/>
      <c r="S34" s="69"/>
      <c r="T34" s="69"/>
      <c r="U34" s="69"/>
      <c r="V34" s="69"/>
    </row>
  </sheetData>
  <mergeCells count="40">
    <mergeCell ref="A33:C33"/>
    <mergeCell ref="D33:F34"/>
    <mergeCell ref="M33:N33"/>
    <mergeCell ref="A34:C34"/>
    <mergeCell ref="M34:N34"/>
    <mergeCell ref="A29:V29"/>
    <mergeCell ref="A30:L30"/>
    <mergeCell ref="P30:R30"/>
    <mergeCell ref="A31:V31"/>
    <mergeCell ref="A32:C32"/>
    <mergeCell ref="D32:F32"/>
    <mergeCell ref="M32:N32"/>
    <mergeCell ref="D19:F27"/>
    <mergeCell ref="P19:P27"/>
    <mergeCell ref="Q19:Q27"/>
    <mergeCell ref="R19:R27"/>
    <mergeCell ref="A28:F28"/>
    <mergeCell ref="P28:R28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92CDA-D66C-4EC1-A51B-962F46775983}">
  <sheetPr>
    <tabColor rgb="FFFF5050"/>
    <pageSetUpPr fitToPage="1"/>
  </sheetPr>
  <dimension ref="A1:W32"/>
  <sheetViews>
    <sheetView showGridLines="0" view="pageBreakPreview" topLeftCell="A18" zoomScaleNormal="62" zoomScaleSheetLayoutView="100" workbookViewId="0">
      <selection activeCell="A27" sqref="A27:V27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122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123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1370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M32</f>
        <v>1415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45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N28</f>
        <v>20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128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86</v>
      </c>
      <c r="H18" s="44" t="s">
        <v>87</v>
      </c>
      <c r="I18" s="65">
        <v>6</v>
      </c>
      <c r="J18" s="65">
        <v>8</v>
      </c>
      <c r="K18" s="65">
        <v>10</v>
      </c>
      <c r="L18" s="65">
        <v>12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2</v>
      </c>
      <c r="D19" s="109" t="s">
        <v>124</v>
      </c>
      <c r="E19" s="109"/>
      <c r="F19" s="109"/>
      <c r="G19" s="17">
        <v>75</v>
      </c>
      <c r="H19" s="18"/>
      <c r="I19" s="18"/>
      <c r="J19" s="19"/>
      <c r="K19" s="19"/>
      <c r="L19" s="19"/>
      <c r="M19" s="18">
        <f t="shared" ref="M19:M25" si="0">SUM(G19:L19)</f>
        <v>75</v>
      </c>
      <c r="N19" s="20">
        <v>2</v>
      </c>
      <c r="O19" s="28">
        <f t="shared" ref="O19:O25" si="1">M19*N19</f>
        <v>150</v>
      </c>
      <c r="P19" s="110">
        <v>51</v>
      </c>
      <c r="Q19" s="110">
        <v>28</v>
      </c>
      <c r="R19" s="111">
        <v>22</v>
      </c>
      <c r="S19" s="39">
        <v>5.6</v>
      </c>
      <c r="T19" s="39">
        <f>S19+0.9</f>
        <v>6.5</v>
      </c>
      <c r="U19" s="39">
        <f t="shared" ref="U19:U25" si="2">S19*N19</f>
        <v>11.2</v>
      </c>
      <c r="V19" s="39">
        <f t="shared" ref="V19:V25" si="3">T19*N19</f>
        <v>13</v>
      </c>
      <c r="W19" s="3"/>
    </row>
    <row r="20" spans="1:23" s="4" customFormat="1" ht="18" customHeight="1">
      <c r="A20" s="25">
        <f>C19+1</f>
        <v>3</v>
      </c>
      <c r="B20" s="26" t="s">
        <v>25</v>
      </c>
      <c r="C20" s="25">
        <f>C19+N20</f>
        <v>7</v>
      </c>
      <c r="D20" s="109"/>
      <c r="E20" s="109"/>
      <c r="F20" s="109"/>
      <c r="G20" s="17"/>
      <c r="H20" s="18">
        <v>80</v>
      </c>
      <c r="I20" s="18"/>
      <c r="J20" s="19"/>
      <c r="K20" s="19"/>
      <c r="L20" s="19"/>
      <c r="M20" s="18">
        <f t="shared" si="0"/>
        <v>80</v>
      </c>
      <c r="N20" s="20">
        <v>5</v>
      </c>
      <c r="O20" s="28">
        <f t="shared" si="1"/>
        <v>400</v>
      </c>
      <c r="P20" s="110"/>
      <c r="Q20" s="110"/>
      <c r="R20" s="111"/>
      <c r="S20" s="39">
        <v>6.7</v>
      </c>
      <c r="T20" s="39">
        <f t="shared" ref="T20:T25" si="4">S20+0.9</f>
        <v>7.6000000000000005</v>
      </c>
      <c r="U20" s="39">
        <f t="shared" si="2"/>
        <v>33.5</v>
      </c>
      <c r="V20" s="39">
        <f t="shared" si="3"/>
        <v>38</v>
      </c>
      <c r="W20" s="3"/>
    </row>
    <row r="21" spans="1:23" s="4" customFormat="1" ht="18" customHeight="1">
      <c r="A21" s="25">
        <f t="shared" ref="A21:A25" si="5">C20+1</f>
        <v>8</v>
      </c>
      <c r="B21" s="26" t="s">
        <v>25</v>
      </c>
      <c r="C21" s="25">
        <f>C20+N21</f>
        <v>11</v>
      </c>
      <c r="D21" s="109"/>
      <c r="E21" s="109"/>
      <c r="F21" s="109"/>
      <c r="G21" s="17"/>
      <c r="H21" s="18"/>
      <c r="I21" s="18">
        <v>75</v>
      </c>
      <c r="J21" s="19"/>
      <c r="K21" s="19"/>
      <c r="L21" s="19"/>
      <c r="M21" s="18">
        <f t="shared" si="0"/>
        <v>75</v>
      </c>
      <c r="N21" s="20">
        <v>4</v>
      </c>
      <c r="O21" s="28">
        <f t="shared" si="1"/>
        <v>300</v>
      </c>
      <c r="P21" s="110"/>
      <c r="Q21" s="110"/>
      <c r="R21" s="111"/>
      <c r="S21" s="39">
        <v>7.2</v>
      </c>
      <c r="T21" s="39">
        <f t="shared" si="4"/>
        <v>8.1</v>
      </c>
      <c r="U21" s="39">
        <f t="shared" si="2"/>
        <v>28.8</v>
      </c>
      <c r="V21" s="39">
        <f t="shared" si="3"/>
        <v>32.4</v>
      </c>
      <c r="W21" s="3"/>
    </row>
    <row r="22" spans="1:23" s="4" customFormat="1" ht="18" customHeight="1">
      <c r="A22" s="25">
        <f t="shared" si="5"/>
        <v>12</v>
      </c>
      <c r="B22" s="26" t="s">
        <v>25</v>
      </c>
      <c r="C22" s="25">
        <f>C21+N22</f>
        <v>14</v>
      </c>
      <c r="D22" s="109"/>
      <c r="E22" s="109"/>
      <c r="F22" s="109"/>
      <c r="G22" s="17"/>
      <c r="H22" s="18"/>
      <c r="I22" s="18"/>
      <c r="J22" s="19">
        <v>70</v>
      </c>
      <c r="K22" s="19"/>
      <c r="L22" s="19"/>
      <c r="M22" s="18">
        <f t="shared" si="0"/>
        <v>70</v>
      </c>
      <c r="N22" s="20">
        <v>3</v>
      </c>
      <c r="O22" s="28">
        <f t="shared" si="1"/>
        <v>210</v>
      </c>
      <c r="P22" s="110"/>
      <c r="Q22" s="110"/>
      <c r="R22" s="111"/>
      <c r="S22" s="39">
        <v>7.7</v>
      </c>
      <c r="T22" s="39">
        <f t="shared" si="4"/>
        <v>8.6</v>
      </c>
      <c r="U22" s="39">
        <f t="shared" si="2"/>
        <v>23.1</v>
      </c>
      <c r="V22" s="39">
        <f t="shared" si="3"/>
        <v>25.799999999999997</v>
      </c>
      <c r="W22" s="3"/>
    </row>
    <row r="23" spans="1:23" s="4" customFormat="1" ht="18" customHeight="1">
      <c r="A23" s="25">
        <f t="shared" si="5"/>
        <v>15</v>
      </c>
      <c r="B23" s="26" t="s">
        <v>25</v>
      </c>
      <c r="C23" s="25">
        <f>C22+N23</f>
        <v>18</v>
      </c>
      <c r="D23" s="109"/>
      <c r="E23" s="109"/>
      <c r="F23" s="109"/>
      <c r="G23" s="17"/>
      <c r="H23" s="18"/>
      <c r="I23" s="18"/>
      <c r="J23" s="19"/>
      <c r="K23" s="19">
        <v>60</v>
      </c>
      <c r="L23" s="19"/>
      <c r="M23" s="18">
        <f t="shared" si="0"/>
        <v>60</v>
      </c>
      <c r="N23" s="20">
        <v>4</v>
      </c>
      <c r="O23" s="28">
        <f t="shared" si="1"/>
        <v>240</v>
      </c>
      <c r="P23" s="110"/>
      <c r="Q23" s="110"/>
      <c r="R23" s="111"/>
      <c r="S23" s="39">
        <v>7.6</v>
      </c>
      <c r="T23" s="39">
        <f t="shared" si="4"/>
        <v>8.5</v>
      </c>
      <c r="U23" s="39">
        <f t="shared" si="2"/>
        <v>30.4</v>
      </c>
      <c r="V23" s="39">
        <f t="shared" si="3"/>
        <v>34</v>
      </c>
      <c r="W23" s="3"/>
    </row>
    <row r="24" spans="1:23" s="4" customFormat="1" ht="18" customHeight="1">
      <c r="A24" s="25">
        <f t="shared" si="5"/>
        <v>19</v>
      </c>
      <c r="B24" s="26" t="s">
        <v>25</v>
      </c>
      <c r="C24" s="25">
        <f t="shared" ref="C24:C25" si="6">C23+N24</f>
        <v>19</v>
      </c>
      <c r="D24" s="109"/>
      <c r="E24" s="109"/>
      <c r="F24" s="109"/>
      <c r="G24" s="17"/>
      <c r="H24" s="18"/>
      <c r="I24" s="18"/>
      <c r="J24" s="19">
        <v>49</v>
      </c>
      <c r="K24" s="19"/>
      <c r="L24" s="19">
        <v>24</v>
      </c>
      <c r="M24" s="18">
        <f t="shared" si="0"/>
        <v>73</v>
      </c>
      <c r="N24" s="20">
        <v>1</v>
      </c>
      <c r="O24" s="28">
        <f t="shared" si="1"/>
        <v>73</v>
      </c>
      <c r="P24" s="110"/>
      <c r="Q24" s="110"/>
      <c r="R24" s="111"/>
      <c r="S24" s="39">
        <v>8.9</v>
      </c>
      <c r="T24" s="39">
        <f t="shared" si="4"/>
        <v>9.8000000000000007</v>
      </c>
      <c r="U24" s="39">
        <f t="shared" si="2"/>
        <v>8.9</v>
      </c>
      <c r="V24" s="39">
        <f t="shared" si="3"/>
        <v>9.8000000000000007</v>
      </c>
      <c r="W24" s="3"/>
    </row>
    <row r="25" spans="1:23" s="4" customFormat="1" ht="18" customHeight="1">
      <c r="A25" s="25">
        <f t="shared" si="5"/>
        <v>20</v>
      </c>
      <c r="B25" s="26" t="s">
        <v>25</v>
      </c>
      <c r="C25" s="25">
        <f t="shared" si="6"/>
        <v>20</v>
      </c>
      <c r="D25" s="109"/>
      <c r="E25" s="109"/>
      <c r="F25" s="109"/>
      <c r="G25" s="17"/>
      <c r="H25" s="18">
        <v>12</v>
      </c>
      <c r="I25" s="18">
        <v>10</v>
      </c>
      <c r="J25" s="19"/>
      <c r="K25" s="19">
        <v>20</v>
      </c>
      <c r="L25" s="19"/>
      <c r="M25" s="18">
        <f t="shared" si="0"/>
        <v>42</v>
      </c>
      <c r="N25" s="20">
        <v>1</v>
      </c>
      <c r="O25" s="28">
        <f t="shared" si="1"/>
        <v>42</v>
      </c>
      <c r="P25" s="110"/>
      <c r="Q25" s="110"/>
      <c r="R25" s="111"/>
      <c r="S25" s="39">
        <v>4.5999999999999996</v>
      </c>
      <c r="T25" s="39">
        <f t="shared" si="4"/>
        <v>5.5</v>
      </c>
      <c r="U25" s="39">
        <f t="shared" si="2"/>
        <v>4.5999999999999996</v>
      </c>
      <c r="V25" s="39">
        <f t="shared" si="3"/>
        <v>5.5</v>
      </c>
      <c r="W25" s="3"/>
    </row>
    <row r="26" spans="1:23" s="23" customFormat="1" ht="21.95" customHeight="1">
      <c r="A26" s="112" t="s">
        <v>2</v>
      </c>
      <c r="B26" s="112"/>
      <c r="C26" s="112"/>
      <c r="D26" s="112"/>
      <c r="E26" s="112"/>
      <c r="F26" s="112"/>
      <c r="G26" s="52">
        <f>O19+G25</f>
        <v>150</v>
      </c>
      <c r="H26" s="53">
        <f>O20+H25</f>
        <v>412</v>
      </c>
      <c r="I26" s="53">
        <f>O21+I25</f>
        <v>310</v>
      </c>
      <c r="J26" s="53">
        <f>O22+J24</f>
        <v>259</v>
      </c>
      <c r="K26" s="53">
        <f>O23+K25</f>
        <v>260</v>
      </c>
      <c r="L26" s="53">
        <f>L24</f>
        <v>24</v>
      </c>
      <c r="M26" s="54"/>
      <c r="N26" s="55">
        <f>SUM(N19:N25)</f>
        <v>20</v>
      </c>
      <c r="O26" s="56">
        <f>SUM(O19:O25)</f>
        <v>1415</v>
      </c>
      <c r="P26" s="113">
        <f>(P19*Q19*R19)/1000000*N26</f>
        <v>0.62831999999999999</v>
      </c>
      <c r="Q26" s="113"/>
      <c r="R26" s="113"/>
      <c r="S26" s="57"/>
      <c r="T26" s="58"/>
      <c r="U26" s="59">
        <f>SUM(U19:U25)</f>
        <v>140.5</v>
      </c>
      <c r="V26" s="59">
        <f>SUM(V19:V25)</f>
        <v>158.5</v>
      </c>
    </row>
    <row r="27" spans="1:23" ht="15" customHeight="1">
      <c r="A27" s="114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6"/>
      <c r="W27" s="2"/>
    </row>
    <row r="28" spans="1:23" s="6" customFormat="1" ht="15" customHeight="1">
      <c r="A28" s="103" t="s">
        <v>5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46"/>
      <c r="N28" s="47">
        <f>N26</f>
        <v>20</v>
      </c>
      <c r="O28" s="48">
        <f>O26</f>
        <v>1415</v>
      </c>
      <c r="P28" s="117">
        <f>P26</f>
        <v>0.62831999999999999</v>
      </c>
      <c r="Q28" s="117"/>
      <c r="R28" s="117"/>
      <c r="S28" s="49"/>
      <c r="T28" s="49"/>
      <c r="U28" s="50">
        <f>U26</f>
        <v>140.5</v>
      </c>
      <c r="V28" s="50">
        <f>V26</f>
        <v>158.5</v>
      </c>
      <c r="W28" s="5"/>
    </row>
    <row r="29" spans="1:23" ht="15" customHeight="1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</row>
    <row r="30" spans="1:23" s="7" customFormat="1" ht="30" customHeight="1">
      <c r="A30" s="106" t="s">
        <v>10</v>
      </c>
      <c r="B30" s="106"/>
      <c r="C30" s="106"/>
      <c r="D30" s="103" t="str">
        <f>D17</f>
        <v>COLOR</v>
      </c>
      <c r="E30" s="103"/>
      <c r="F30" s="103"/>
      <c r="G30" s="51" t="str">
        <f t="shared" ref="G30:L30" si="7">G18</f>
        <v>2</v>
      </c>
      <c r="H30" s="51" t="str">
        <f t="shared" si="7"/>
        <v>4</v>
      </c>
      <c r="I30" s="51">
        <f t="shared" si="7"/>
        <v>6</v>
      </c>
      <c r="J30" s="51">
        <f t="shared" si="7"/>
        <v>8</v>
      </c>
      <c r="K30" s="51">
        <f t="shared" si="7"/>
        <v>10</v>
      </c>
      <c r="L30" s="51">
        <f t="shared" si="7"/>
        <v>12</v>
      </c>
      <c r="M30" s="103" t="s">
        <v>2</v>
      </c>
      <c r="N30" s="103"/>
      <c r="O30" s="69"/>
      <c r="P30" s="69"/>
      <c r="S30" s="69"/>
      <c r="T30" s="69"/>
      <c r="U30" s="69"/>
      <c r="V30" s="69"/>
    </row>
    <row r="31" spans="1:23" s="7" customFormat="1" ht="24.95" customHeight="1">
      <c r="A31" s="119" t="s">
        <v>12</v>
      </c>
      <c r="B31" s="119"/>
      <c r="C31" s="119"/>
      <c r="D31" s="120" t="str">
        <f>D19</f>
        <v>Blue Marl</v>
      </c>
      <c r="E31" s="121"/>
      <c r="F31" s="121"/>
      <c r="G31" s="64">
        <v>150</v>
      </c>
      <c r="H31" s="64">
        <v>400</v>
      </c>
      <c r="I31" s="64">
        <v>300</v>
      </c>
      <c r="J31" s="64">
        <v>250</v>
      </c>
      <c r="K31" s="64">
        <v>250</v>
      </c>
      <c r="L31" s="64">
        <v>20</v>
      </c>
      <c r="M31" s="122">
        <f>G31+H31+I31+J31+K31+L31</f>
        <v>1370</v>
      </c>
      <c r="N31" s="122"/>
      <c r="O31" s="22"/>
      <c r="P31" s="21"/>
      <c r="S31" s="69"/>
      <c r="T31" s="69"/>
      <c r="U31" s="69"/>
      <c r="V31" s="69"/>
    </row>
    <row r="32" spans="1:23" s="7" customFormat="1" ht="24.95" customHeight="1">
      <c r="A32" s="119" t="s">
        <v>30</v>
      </c>
      <c r="B32" s="119"/>
      <c r="C32" s="119"/>
      <c r="D32" s="121"/>
      <c r="E32" s="121"/>
      <c r="F32" s="121"/>
      <c r="G32" s="64">
        <f t="shared" ref="G32:K32" si="8">G26</f>
        <v>150</v>
      </c>
      <c r="H32" s="64">
        <f t="shared" si="8"/>
        <v>412</v>
      </c>
      <c r="I32" s="64">
        <f t="shared" si="8"/>
        <v>310</v>
      </c>
      <c r="J32" s="64">
        <f t="shared" si="8"/>
        <v>259</v>
      </c>
      <c r="K32" s="64">
        <f t="shared" si="8"/>
        <v>260</v>
      </c>
      <c r="L32" s="64">
        <f>L26</f>
        <v>24</v>
      </c>
      <c r="M32" s="122">
        <f>G32+H32+I32+J32+K32+L32</f>
        <v>1415</v>
      </c>
      <c r="N32" s="122"/>
      <c r="O32" s="22"/>
      <c r="P32" s="21"/>
      <c r="S32" s="69"/>
      <c r="T32" s="69"/>
      <c r="U32" s="69"/>
      <c r="V32" s="69"/>
    </row>
  </sheetData>
  <mergeCells count="40">
    <mergeCell ref="A31:C31"/>
    <mergeCell ref="D31:F32"/>
    <mergeCell ref="M31:N31"/>
    <mergeCell ref="A32:C32"/>
    <mergeCell ref="M32:N32"/>
    <mergeCell ref="A27:V27"/>
    <mergeCell ref="A28:L28"/>
    <mergeCell ref="P28:R28"/>
    <mergeCell ref="A29:V29"/>
    <mergeCell ref="A30:C30"/>
    <mergeCell ref="D30:F30"/>
    <mergeCell ref="M30:N30"/>
    <mergeCell ref="D19:F25"/>
    <mergeCell ref="P19:P25"/>
    <mergeCell ref="Q19:Q25"/>
    <mergeCell ref="R19:R25"/>
    <mergeCell ref="A26:F26"/>
    <mergeCell ref="P26:R26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E96D2-E9EE-485A-83BD-A5BC32038C87}">
  <sheetPr>
    <tabColor rgb="FFC00000"/>
    <pageSetUpPr fitToPage="1"/>
  </sheetPr>
  <dimension ref="A1:W34"/>
  <sheetViews>
    <sheetView showGridLines="0" view="pageBreakPreview" topLeftCell="A18" zoomScaleNormal="62" zoomScaleSheetLayoutView="100" workbookViewId="0">
      <selection activeCell="R33" sqref="R33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125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126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1500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M34</f>
        <v>1539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39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N30</f>
        <v>22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89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86</v>
      </c>
      <c r="H18" s="44" t="s">
        <v>87</v>
      </c>
      <c r="I18" s="65">
        <v>6</v>
      </c>
      <c r="J18" s="65">
        <v>8</v>
      </c>
      <c r="K18" s="65">
        <v>10</v>
      </c>
      <c r="L18" s="65">
        <v>12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3</v>
      </c>
      <c r="D19" s="109" t="s">
        <v>127</v>
      </c>
      <c r="E19" s="109"/>
      <c r="F19" s="109"/>
      <c r="G19" s="17">
        <v>80</v>
      </c>
      <c r="H19" s="18"/>
      <c r="I19" s="18"/>
      <c r="J19" s="19"/>
      <c r="K19" s="19"/>
      <c r="L19" s="19"/>
      <c r="M19" s="18">
        <f t="shared" ref="M19:M27" si="0">SUM(G19:L19)</f>
        <v>80</v>
      </c>
      <c r="N19" s="20">
        <v>3</v>
      </c>
      <c r="O19" s="28">
        <f t="shared" ref="O19:O27" si="1">M19*N19</f>
        <v>240</v>
      </c>
      <c r="P19" s="110">
        <v>51</v>
      </c>
      <c r="Q19" s="110">
        <v>28</v>
      </c>
      <c r="R19" s="111">
        <v>22</v>
      </c>
      <c r="S19" s="39">
        <v>5.0999999999999996</v>
      </c>
      <c r="T19" s="39">
        <f>S19+0.9</f>
        <v>6</v>
      </c>
      <c r="U19" s="39">
        <f t="shared" ref="U19:U27" si="2">S19*N19</f>
        <v>15.299999999999999</v>
      </c>
      <c r="V19" s="39">
        <f t="shared" ref="V19:V27" si="3">T19*N19</f>
        <v>18</v>
      </c>
      <c r="W19" s="3"/>
    </row>
    <row r="20" spans="1:23" s="4" customFormat="1" ht="18" customHeight="1">
      <c r="A20" s="25">
        <f>C19+1</f>
        <v>4</v>
      </c>
      <c r="B20" s="26" t="s">
        <v>25</v>
      </c>
      <c r="C20" s="25">
        <f>C19+N20</f>
        <v>6</v>
      </c>
      <c r="D20" s="109"/>
      <c r="E20" s="109"/>
      <c r="F20" s="109"/>
      <c r="G20" s="17"/>
      <c r="H20" s="18">
        <v>80</v>
      </c>
      <c r="I20" s="18"/>
      <c r="J20" s="19"/>
      <c r="K20" s="19"/>
      <c r="L20" s="19"/>
      <c r="M20" s="18">
        <f t="shared" si="0"/>
        <v>80</v>
      </c>
      <c r="N20" s="20">
        <v>3</v>
      </c>
      <c r="O20" s="28">
        <f t="shared" si="1"/>
        <v>240</v>
      </c>
      <c r="P20" s="110"/>
      <c r="Q20" s="110"/>
      <c r="R20" s="111"/>
      <c r="S20" s="39">
        <v>5.7</v>
      </c>
      <c r="T20" s="39">
        <f t="shared" ref="T20:T27" si="4">S20+0.9</f>
        <v>6.6000000000000005</v>
      </c>
      <c r="U20" s="39">
        <f t="shared" si="2"/>
        <v>17.100000000000001</v>
      </c>
      <c r="V20" s="39">
        <f t="shared" si="3"/>
        <v>19.8</v>
      </c>
      <c r="W20" s="3"/>
    </row>
    <row r="21" spans="1:23" s="4" customFormat="1" ht="18" customHeight="1">
      <c r="A21" s="25">
        <f t="shared" ref="A21:A27" si="5">C20+1</f>
        <v>7</v>
      </c>
      <c r="B21" s="26" t="s">
        <v>25</v>
      </c>
      <c r="C21" s="25">
        <f>C20+N21</f>
        <v>10</v>
      </c>
      <c r="D21" s="109"/>
      <c r="E21" s="109"/>
      <c r="F21" s="109"/>
      <c r="G21" s="17"/>
      <c r="H21" s="18"/>
      <c r="I21" s="18">
        <v>75</v>
      </c>
      <c r="J21" s="19"/>
      <c r="K21" s="19"/>
      <c r="L21" s="19"/>
      <c r="M21" s="18">
        <f t="shared" si="0"/>
        <v>75</v>
      </c>
      <c r="N21" s="20">
        <v>4</v>
      </c>
      <c r="O21" s="28">
        <f t="shared" si="1"/>
        <v>300</v>
      </c>
      <c r="P21" s="110"/>
      <c r="Q21" s="110"/>
      <c r="R21" s="111"/>
      <c r="S21" s="39">
        <v>5.8</v>
      </c>
      <c r="T21" s="39">
        <f t="shared" si="4"/>
        <v>6.7</v>
      </c>
      <c r="U21" s="39">
        <f t="shared" si="2"/>
        <v>23.2</v>
      </c>
      <c r="V21" s="39">
        <f t="shared" si="3"/>
        <v>26.8</v>
      </c>
      <c r="W21" s="3"/>
    </row>
    <row r="22" spans="1:23" s="4" customFormat="1" ht="18" customHeight="1">
      <c r="A22" s="25">
        <f t="shared" si="5"/>
        <v>11</v>
      </c>
      <c r="B22" s="26" t="s">
        <v>25</v>
      </c>
      <c r="C22" s="25">
        <f>C21+N22</f>
        <v>13</v>
      </c>
      <c r="D22" s="109"/>
      <c r="E22" s="109"/>
      <c r="F22" s="109"/>
      <c r="G22" s="17"/>
      <c r="H22" s="18"/>
      <c r="I22" s="18"/>
      <c r="J22" s="19">
        <v>70</v>
      </c>
      <c r="K22" s="19"/>
      <c r="L22" s="19"/>
      <c r="M22" s="18">
        <f t="shared" si="0"/>
        <v>70</v>
      </c>
      <c r="N22" s="20">
        <v>3</v>
      </c>
      <c r="O22" s="28">
        <f t="shared" si="1"/>
        <v>210</v>
      </c>
      <c r="P22" s="110"/>
      <c r="Q22" s="110"/>
      <c r="R22" s="111"/>
      <c r="S22" s="39">
        <v>6.6</v>
      </c>
      <c r="T22" s="39">
        <f t="shared" si="4"/>
        <v>7.5</v>
      </c>
      <c r="U22" s="39">
        <f t="shared" si="2"/>
        <v>19.799999999999997</v>
      </c>
      <c r="V22" s="39">
        <f t="shared" si="3"/>
        <v>22.5</v>
      </c>
      <c r="W22" s="3"/>
    </row>
    <row r="23" spans="1:23" s="4" customFormat="1" ht="18" customHeight="1">
      <c r="A23" s="25">
        <f t="shared" si="5"/>
        <v>14</v>
      </c>
      <c r="B23" s="26" t="s">
        <v>25</v>
      </c>
      <c r="C23" s="25">
        <f>C22+N23</f>
        <v>16</v>
      </c>
      <c r="D23" s="109"/>
      <c r="E23" s="109"/>
      <c r="F23" s="109"/>
      <c r="G23" s="17"/>
      <c r="H23" s="18"/>
      <c r="I23" s="18"/>
      <c r="J23" s="19"/>
      <c r="K23" s="19">
        <v>65</v>
      </c>
      <c r="L23" s="19"/>
      <c r="M23" s="18">
        <f t="shared" si="0"/>
        <v>65</v>
      </c>
      <c r="N23" s="20">
        <v>3</v>
      </c>
      <c r="O23" s="28">
        <f t="shared" si="1"/>
        <v>195</v>
      </c>
      <c r="P23" s="110"/>
      <c r="Q23" s="110"/>
      <c r="R23" s="111"/>
      <c r="S23" s="39">
        <v>6.4</v>
      </c>
      <c r="T23" s="39">
        <f t="shared" si="4"/>
        <v>7.3000000000000007</v>
      </c>
      <c r="U23" s="39">
        <f t="shared" si="2"/>
        <v>19.200000000000003</v>
      </c>
      <c r="V23" s="39">
        <f t="shared" si="3"/>
        <v>21.900000000000002</v>
      </c>
      <c r="W23" s="3"/>
    </row>
    <row r="24" spans="1:23" s="4" customFormat="1" ht="18" customHeight="1">
      <c r="A24" s="25">
        <f t="shared" si="5"/>
        <v>17</v>
      </c>
      <c r="B24" s="26" t="s">
        <v>25</v>
      </c>
      <c r="C24" s="25">
        <f t="shared" ref="C24:C27" si="6">C23+N24</f>
        <v>19</v>
      </c>
      <c r="D24" s="109"/>
      <c r="E24" s="109"/>
      <c r="F24" s="109"/>
      <c r="G24" s="17"/>
      <c r="H24" s="18"/>
      <c r="I24" s="18"/>
      <c r="J24" s="19"/>
      <c r="K24" s="19"/>
      <c r="L24" s="19">
        <v>60</v>
      </c>
      <c r="M24" s="18">
        <f t="shared" si="0"/>
        <v>60</v>
      </c>
      <c r="N24" s="20">
        <v>3</v>
      </c>
      <c r="O24" s="28">
        <f t="shared" si="1"/>
        <v>180</v>
      </c>
      <c r="P24" s="110"/>
      <c r="Q24" s="110"/>
      <c r="R24" s="111"/>
      <c r="S24" s="39">
        <v>6.3</v>
      </c>
      <c r="T24" s="39">
        <f t="shared" si="4"/>
        <v>7.2</v>
      </c>
      <c r="U24" s="39">
        <f t="shared" si="2"/>
        <v>18.899999999999999</v>
      </c>
      <c r="V24" s="39">
        <f t="shared" si="3"/>
        <v>21.6</v>
      </c>
      <c r="W24" s="3"/>
    </row>
    <row r="25" spans="1:23" s="4" customFormat="1" ht="18" customHeight="1">
      <c r="A25" s="25">
        <f t="shared" si="5"/>
        <v>20</v>
      </c>
      <c r="B25" s="26" t="s">
        <v>25</v>
      </c>
      <c r="C25" s="25">
        <f t="shared" si="6"/>
        <v>20</v>
      </c>
      <c r="D25" s="109"/>
      <c r="E25" s="109"/>
      <c r="F25" s="109"/>
      <c r="G25" s="17"/>
      <c r="H25" s="18">
        <v>70</v>
      </c>
      <c r="I25" s="18"/>
      <c r="J25" s="19"/>
      <c r="K25" s="19"/>
      <c r="L25" s="19"/>
      <c r="M25" s="18">
        <f t="shared" si="0"/>
        <v>70</v>
      </c>
      <c r="N25" s="20">
        <v>1</v>
      </c>
      <c r="O25" s="28">
        <f t="shared" si="1"/>
        <v>70</v>
      </c>
      <c r="P25" s="110"/>
      <c r="Q25" s="110"/>
      <c r="R25" s="111"/>
      <c r="S25" s="39">
        <v>6.5</v>
      </c>
      <c r="T25" s="39">
        <f t="shared" si="4"/>
        <v>7.4</v>
      </c>
      <c r="U25" s="39">
        <f t="shared" si="2"/>
        <v>6.5</v>
      </c>
      <c r="V25" s="39">
        <f t="shared" si="3"/>
        <v>7.4</v>
      </c>
      <c r="W25" s="3"/>
    </row>
    <row r="26" spans="1:23" s="4" customFormat="1" ht="18" customHeight="1">
      <c r="A26" s="25">
        <f t="shared" si="5"/>
        <v>21</v>
      </c>
      <c r="B26" s="26" t="s">
        <v>25</v>
      </c>
      <c r="C26" s="25">
        <f t="shared" si="6"/>
        <v>21</v>
      </c>
      <c r="D26" s="109"/>
      <c r="E26" s="109"/>
      <c r="F26" s="109"/>
      <c r="G26" s="17">
        <v>13</v>
      </c>
      <c r="H26" s="18"/>
      <c r="I26" s="18"/>
      <c r="J26" s="19"/>
      <c r="K26" s="19"/>
      <c r="L26" s="19">
        <v>29</v>
      </c>
      <c r="M26" s="18">
        <f t="shared" si="0"/>
        <v>42</v>
      </c>
      <c r="N26" s="20">
        <v>1</v>
      </c>
      <c r="O26" s="28">
        <f t="shared" si="1"/>
        <v>42</v>
      </c>
      <c r="P26" s="110"/>
      <c r="Q26" s="110"/>
      <c r="R26" s="111"/>
      <c r="S26" s="39">
        <v>2.8</v>
      </c>
      <c r="T26" s="39">
        <f t="shared" si="4"/>
        <v>3.6999999999999997</v>
      </c>
      <c r="U26" s="39">
        <f t="shared" si="2"/>
        <v>2.8</v>
      </c>
      <c r="V26" s="39">
        <f t="shared" si="3"/>
        <v>3.6999999999999997</v>
      </c>
      <c r="W26" s="3"/>
    </row>
    <row r="27" spans="1:23" s="4" customFormat="1" ht="18" customHeight="1">
      <c r="A27" s="25">
        <f t="shared" si="5"/>
        <v>22</v>
      </c>
      <c r="B27" s="26" t="s">
        <v>25</v>
      </c>
      <c r="C27" s="25">
        <f t="shared" si="6"/>
        <v>22</v>
      </c>
      <c r="D27" s="109"/>
      <c r="E27" s="109"/>
      <c r="F27" s="109"/>
      <c r="G27" s="17"/>
      <c r="H27" s="18"/>
      <c r="I27" s="18"/>
      <c r="J27" s="19">
        <v>50</v>
      </c>
      <c r="K27" s="19">
        <v>12</v>
      </c>
      <c r="L27" s="19"/>
      <c r="M27" s="18">
        <f t="shared" si="0"/>
        <v>62</v>
      </c>
      <c r="N27" s="20">
        <v>1</v>
      </c>
      <c r="O27" s="28">
        <f t="shared" si="1"/>
        <v>62</v>
      </c>
      <c r="P27" s="110"/>
      <c r="Q27" s="110"/>
      <c r="R27" s="111"/>
      <c r="S27" s="39">
        <v>6.1</v>
      </c>
      <c r="T27" s="39">
        <f t="shared" si="4"/>
        <v>7</v>
      </c>
      <c r="U27" s="39">
        <f t="shared" si="2"/>
        <v>6.1</v>
      </c>
      <c r="V27" s="39">
        <f t="shared" si="3"/>
        <v>7</v>
      </c>
      <c r="W27" s="3"/>
    </row>
    <row r="28" spans="1:23" s="23" customFormat="1" ht="21.95" customHeight="1">
      <c r="A28" s="112" t="s">
        <v>2</v>
      </c>
      <c r="B28" s="112"/>
      <c r="C28" s="112"/>
      <c r="D28" s="112"/>
      <c r="E28" s="112"/>
      <c r="F28" s="112"/>
      <c r="G28" s="52">
        <f>O19+G26</f>
        <v>253</v>
      </c>
      <c r="H28" s="53">
        <f>O20+H25</f>
        <v>310</v>
      </c>
      <c r="I28" s="53">
        <f>O21+I26</f>
        <v>300</v>
      </c>
      <c r="J28" s="53">
        <f>O22+J27</f>
        <v>260</v>
      </c>
      <c r="K28" s="53">
        <f>O23+K27</f>
        <v>207</v>
      </c>
      <c r="L28" s="53">
        <f>O24+L26</f>
        <v>209</v>
      </c>
      <c r="M28" s="54"/>
      <c r="N28" s="55">
        <f>SUM(N19:N27)</f>
        <v>22</v>
      </c>
      <c r="O28" s="56">
        <f>SUM(O19:O27)</f>
        <v>1539</v>
      </c>
      <c r="P28" s="113">
        <f>(P19*Q19*R19)/1000000*N28</f>
        <v>0.69115199999999999</v>
      </c>
      <c r="Q28" s="113"/>
      <c r="R28" s="113"/>
      <c r="S28" s="57"/>
      <c r="T28" s="58"/>
      <c r="U28" s="59">
        <f>SUM(U19:U27)</f>
        <v>128.9</v>
      </c>
      <c r="V28" s="59">
        <f>SUM(V19:V27)</f>
        <v>148.69999999999999</v>
      </c>
    </row>
    <row r="29" spans="1:23" ht="15" customHeight="1">
      <c r="A29" s="114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6"/>
      <c r="W29" s="2"/>
    </row>
    <row r="30" spans="1:23" s="6" customFormat="1" ht="15" customHeight="1">
      <c r="A30" s="103" t="s">
        <v>5</v>
      </c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46"/>
      <c r="N30" s="47">
        <f>N28</f>
        <v>22</v>
      </c>
      <c r="O30" s="48">
        <f>O28</f>
        <v>1539</v>
      </c>
      <c r="P30" s="117">
        <f>P28</f>
        <v>0.69115199999999999</v>
      </c>
      <c r="Q30" s="117"/>
      <c r="R30" s="117"/>
      <c r="S30" s="49"/>
      <c r="T30" s="49"/>
      <c r="U30" s="50">
        <f>U28</f>
        <v>128.9</v>
      </c>
      <c r="V30" s="50">
        <f>V28</f>
        <v>148.69999999999999</v>
      </c>
      <c r="W30" s="5"/>
    </row>
    <row r="31" spans="1:23" ht="15" customHeight="1">
      <c r="A31" s="118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</row>
    <row r="32" spans="1:23" s="7" customFormat="1" ht="30" customHeight="1">
      <c r="A32" s="106" t="s">
        <v>10</v>
      </c>
      <c r="B32" s="106"/>
      <c r="C32" s="106"/>
      <c r="D32" s="103" t="str">
        <f>D17</f>
        <v>COLOR</v>
      </c>
      <c r="E32" s="103"/>
      <c r="F32" s="103"/>
      <c r="G32" s="51" t="str">
        <f t="shared" ref="G32:L32" si="7">G18</f>
        <v>2</v>
      </c>
      <c r="H32" s="51" t="str">
        <f t="shared" si="7"/>
        <v>4</v>
      </c>
      <c r="I32" s="51">
        <f t="shared" si="7"/>
        <v>6</v>
      </c>
      <c r="J32" s="51">
        <f t="shared" si="7"/>
        <v>8</v>
      </c>
      <c r="K32" s="51">
        <f t="shared" si="7"/>
        <v>10</v>
      </c>
      <c r="L32" s="51">
        <f t="shared" si="7"/>
        <v>12</v>
      </c>
      <c r="M32" s="103" t="s">
        <v>2</v>
      </c>
      <c r="N32" s="103"/>
      <c r="O32" s="69"/>
      <c r="P32" s="69"/>
      <c r="S32" s="69"/>
      <c r="T32" s="69"/>
      <c r="U32" s="69"/>
      <c r="V32" s="69"/>
    </row>
    <row r="33" spans="1:22" s="7" customFormat="1" ht="24.95" customHeight="1">
      <c r="A33" s="119" t="s">
        <v>12</v>
      </c>
      <c r="B33" s="119"/>
      <c r="C33" s="119"/>
      <c r="D33" s="120" t="str">
        <f>D19</f>
        <v>Coral</v>
      </c>
      <c r="E33" s="121"/>
      <c r="F33" s="121"/>
      <c r="G33" s="64">
        <v>250</v>
      </c>
      <c r="H33" s="64">
        <v>300</v>
      </c>
      <c r="I33" s="64">
        <v>300</v>
      </c>
      <c r="J33" s="64">
        <v>250</v>
      </c>
      <c r="K33" s="64">
        <v>200</v>
      </c>
      <c r="L33" s="64">
        <v>200</v>
      </c>
      <c r="M33" s="122">
        <f>G33+H33+I33+J33+K33+L33</f>
        <v>1500</v>
      </c>
      <c r="N33" s="122"/>
      <c r="O33" s="22"/>
      <c r="P33" s="21"/>
      <c r="S33" s="69"/>
      <c r="T33" s="69"/>
      <c r="U33" s="69"/>
      <c r="V33" s="69"/>
    </row>
    <row r="34" spans="1:22" s="7" customFormat="1" ht="24.95" customHeight="1">
      <c r="A34" s="119" t="s">
        <v>30</v>
      </c>
      <c r="B34" s="119"/>
      <c r="C34" s="119"/>
      <c r="D34" s="121"/>
      <c r="E34" s="121"/>
      <c r="F34" s="121"/>
      <c r="G34" s="64">
        <f t="shared" ref="G34:K34" si="8">G28</f>
        <v>253</v>
      </c>
      <c r="H34" s="64">
        <f t="shared" si="8"/>
        <v>310</v>
      </c>
      <c r="I34" s="64">
        <f t="shared" si="8"/>
        <v>300</v>
      </c>
      <c r="J34" s="64">
        <f t="shared" si="8"/>
        <v>260</v>
      </c>
      <c r="K34" s="64">
        <f t="shared" si="8"/>
        <v>207</v>
      </c>
      <c r="L34" s="64">
        <f>L28</f>
        <v>209</v>
      </c>
      <c r="M34" s="122">
        <f>G34+H34+I34+J34+K34+L34</f>
        <v>1539</v>
      </c>
      <c r="N34" s="122"/>
      <c r="O34" s="22"/>
      <c r="P34" s="21"/>
      <c r="S34" s="69"/>
      <c r="T34" s="69"/>
      <c r="U34" s="69"/>
      <c r="V34" s="69"/>
    </row>
  </sheetData>
  <mergeCells count="40">
    <mergeCell ref="A33:C33"/>
    <mergeCell ref="D33:F34"/>
    <mergeCell ref="M33:N33"/>
    <mergeCell ref="A34:C34"/>
    <mergeCell ref="M34:N34"/>
    <mergeCell ref="A29:V29"/>
    <mergeCell ref="A30:L30"/>
    <mergeCell ref="P30:R30"/>
    <mergeCell ref="A31:V31"/>
    <mergeCell ref="A32:C32"/>
    <mergeCell ref="D32:F32"/>
    <mergeCell ref="M32:N32"/>
    <mergeCell ref="D19:F27"/>
    <mergeCell ref="P19:P27"/>
    <mergeCell ref="Q19:Q27"/>
    <mergeCell ref="R19:R27"/>
    <mergeCell ref="A28:F28"/>
    <mergeCell ref="P28:R28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CCD5-739D-45C0-95DE-B390B754DF59}">
  <sheetPr>
    <tabColor rgb="FFC00000"/>
    <pageSetUpPr fitToPage="1"/>
  </sheetPr>
  <dimension ref="A1:W32"/>
  <sheetViews>
    <sheetView showGridLines="0" view="pageBreakPreview" topLeftCell="A15" zoomScaleNormal="62" zoomScaleSheetLayoutView="100" workbookViewId="0">
      <selection activeCell="R33" sqref="R33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129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130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1550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M32</f>
        <v>1569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19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N28</f>
        <v>22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89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86</v>
      </c>
      <c r="H18" s="44" t="s">
        <v>87</v>
      </c>
      <c r="I18" s="65">
        <v>6</v>
      </c>
      <c r="J18" s="65">
        <v>8</v>
      </c>
      <c r="K18" s="65">
        <v>10</v>
      </c>
      <c r="L18" s="65">
        <v>12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4</v>
      </c>
      <c r="D19" s="109" t="s">
        <v>99</v>
      </c>
      <c r="E19" s="109"/>
      <c r="F19" s="109"/>
      <c r="G19" s="17">
        <v>80</v>
      </c>
      <c r="H19" s="18"/>
      <c r="I19" s="18"/>
      <c r="J19" s="19"/>
      <c r="K19" s="19"/>
      <c r="L19" s="19"/>
      <c r="M19" s="18">
        <f t="shared" ref="M19:M25" si="0">SUM(G19:L19)</f>
        <v>80</v>
      </c>
      <c r="N19" s="20">
        <v>4</v>
      </c>
      <c r="O19" s="28">
        <f t="shared" ref="O19:O25" si="1">M19*N19</f>
        <v>320</v>
      </c>
      <c r="P19" s="110">
        <v>51</v>
      </c>
      <c r="Q19" s="110">
        <v>28</v>
      </c>
      <c r="R19" s="111">
        <v>22</v>
      </c>
      <c r="S19" s="39">
        <v>5.0999999999999996</v>
      </c>
      <c r="T19" s="39">
        <f>S19+0.9</f>
        <v>6</v>
      </c>
      <c r="U19" s="39">
        <f t="shared" ref="U19:U25" si="2">S19*N19</f>
        <v>20.399999999999999</v>
      </c>
      <c r="V19" s="39">
        <f t="shared" ref="V19:V25" si="3">T19*N19</f>
        <v>24</v>
      </c>
      <c r="W19" s="3"/>
    </row>
    <row r="20" spans="1:23" s="4" customFormat="1" ht="18" customHeight="1">
      <c r="A20" s="25">
        <f>C19+1</f>
        <v>5</v>
      </c>
      <c r="B20" s="26" t="s">
        <v>25</v>
      </c>
      <c r="C20" s="25">
        <f>C19+N20</f>
        <v>8</v>
      </c>
      <c r="D20" s="109"/>
      <c r="E20" s="109"/>
      <c r="F20" s="109"/>
      <c r="G20" s="17"/>
      <c r="H20" s="18">
        <v>80</v>
      </c>
      <c r="I20" s="18"/>
      <c r="J20" s="19"/>
      <c r="K20" s="19"/>
      <c r="L20" s="19"/>
      <c r="M20" s="18">
        <f t="shared" si="0"/>
        <v>80</v>
      </c>
      <c r="N20" s="20">
        <v>4</v>
      </c>
      <c r="O20" s="28">
        <f t="shared" si="1"/>
        <v>320</v>
      </c>
      <c r="P20" s="110"/>
      <c r="Q20" s="110"/>
      <c r="R20" s="111"/>
      <c r="S20" s="39">
        <v>5.7</v>
      </c>
      <c r="T20" s="39">
        <f t="shared" ref="T20:T25" si="4">S20+0.9</f>
        <v>6.6000000000000005</v>
      </c>
      <c r="U20" s="39">
        <f t="shared" si="2"/>
        <v>22.8</v>
      </c>
      <c r="V20" s="39">
        <f t="shared" si="3"/>
        <v>26.400000000000002</v>
      </c>
      <c r="W20" s="3"/>
    </row>
    <row r="21" spans="1:23" s="4" customFormat="1" ht="18" customHeight="1">
      <c r="A21" s="25">
        <f t="shared" ref="A21:A25" si="5">C20+1</f>
        <v>9</v>
      </c>
      <c r="B21" s="26" t="s">
        <v>25</v>
      </c>
      <c r="C21" s="25">
        <f>C20+N21</f>
        <v>13</v>
      </c>
      <c r="D21" s="109"/>
      <c r="E21" s="109"/>
      <c r="F21" s="109"/>
      <c r="G21" s="17"/>
      <c r="H21" s="18"/>
      <c r="I21" s="18">
        <v>70</v>
      </c>
      <c r="J21" s="19"/>
      <c r="K21" s="19"/>
      <c r="L21" s="19"/>
      <c r="M21" s="18">
        <f t="shared" si="0"/>
        <v>70</v>
      </c>
      <c r="N21" s="20">
        <v>5</v>
      </c>
      <c r="O21" s="28">
        <f t="shared" si="1"/>
        <v>350</v>
      </c>
      <c r="P21" s="110"/>
      <c r="Q21" s="110"/>
      <c r="R21" s="111"/>
      <c r="S21" s="39">
        <v>5.8</v>
      </c>
      <c r="T21" s="39">
        <f t="shared" si="4"/>
        <v>6.7</v>
      </c>
      <c r="U21" s="39">
        <f t="shared" si="2"/>
        <v>29</v>
      </c>
      <c r="V21" s="39">
        <f t="shared" si="3"/>
        <v>33.5</v>
      </c>
      <c r="W21" s="3"/>
    </row>
    <row r="22" spans="1:23" s="4" customFormat="1" ht="18" customHeight="1">
      <c r="A22" s="25">
        <f t="shared" si="5"/>
        <v>14</v>
      </c>
      <c r="B22" s="26" t="s">
        <v>25</v>
      </c>
      <c r="C22" s="25">
        <f>C21+N22</f>
        <v>16</v>
      </c>
      <c r="D22" s="109"/>
      <c r="E22" s="109"/>
      <c r="F22" s="109"/>
      <c r="G22" s="17"/>
      <c r="H22" s="18"/>
      <c r="I22" s="18"/>
      <c r="J22" s="19">
        <v>70</v>
      </c>
      <c r="K22" s="19"/>
      <c r="L22" s="19"/>
      <c r="M22" s="18">
        <f t="shared" si="0"/>
        <v>70</v>
      </c>
      <c r="N22" s="20">
        <v>3</v>
      </c>
      <c r="O22" s="28">
        <f t="shared" si="1"/>
        <v>210</v>
      </c>
      <c r="P22" s="110"/>
      <c r="Q22" s="110"/>
      <c r="R22" s="111"/>
      <c r="S22" s="39">
        <v>6.6</v>
      </c>
      <c r="T22" s="39">
        <f t="shared" si="4"/>
        <v>7.5</v>
      </c>
      <c r="U22" s="39">
        <f t="shared" si="2"/>
        <v>19.799999999999997</v>
      </c>
      <c r="V22" s="39">
        <f t="shared" si="3"/>
        <v>22.5</v>
      </c>
      <c r="W22" s="3"/>
    </row>
    <row r="23" spans="1:23" s="4" customFormat="1" ht="18" customHeight="1">
      <c r="A23" s="25">
        <f t="shared" si="5"/>
        <v>17</v>
      </c>
      <c r="B23" s="26" t="s">
        <v>25</v>
      </c>
      <c r="C23" s="25">
        <f>C22+N23</f>
        <v>20</v>
      </c>
      <c r="D23" s="109"/>
      <c r="E23" s="109"/>
      <c r="F23" s="109"/>
      <c r="G23" s="17"/>
      <c r="H23" s="18"/>
      <c r="I23" s="18"/>
      <c r="J23" s="19"/>
      <c r="K23" s="19">
        <v>60</v>
      </c>
      <c r="L23" s="19"/>
      <c r="M23" s="18">
        <f t="shared" si="0"/>
        <v>60</v>
      </c>
      <c r="N23" s="20">
        <v>4</v>
      </c>
      <c r="O23" s="28">
        <f t="shared" si="1"/>
        <v>240</v>
      </c>
      <c r="P23" s="110"/>
      <c r="Q23" s="110"/>
      <c r="R23" s="111"/>
      <c r="S23" s="39">
        <v>6.4</v>
      </c>
      <c r="T23" s="39">
        <f t="shared" si="4"/>
        <v>7.3000000000000007</v>
      </c>
      <c r="U23" s="39">
        <f t="shared" si="2"/>
        <v>25.6</v>
      </c>
      <c r="V23" s="39">
        <f t="shared" si="3"/>
        <v>29.200000000000003</v>
      </c>
      <c r="W23" s="3"/>
    </row>
    <row r="24" spans="1:23" s="4" customFormat="1" ht="18" customHeight="1">
      <c r="A24" s="25">
        <f t="shared" si="5"/>
        <v>21</v>
      </c>
      <c r="B24" s="26" t="s">
        <v>25</v>
      </c>
      <c r="C24" s="25">
        <f t="shared" ref="C24:C25" si="6">C23+N24</f>
        <v>21</v>
      </c>
      <c r="D24" s="109"/>
      <c r="E24" s="109"/>
      <c r="F24" s="109"/>
      <c r="G24" s="17">
        <v>28</v>
      </c>
      <c r="H24" s="18">
        <v>35</v>
      </c>
      <c r="I24" s="18">
        <v>8</v>
      </c>
      <c r="J24" s="19"/>
      <c r="K24" s="19"/>
      <c r="L24" s="19"/>
      <c r="M24" s="18">
        <f t="shared" si="0"/>
        <v>71</v>
      </c>
      <c r="N24" s="20">
        <v>1</v>
      </c>
      <c r="O24" s="28">
        <f t="shared" si="1"/>
        <v>71</v>
      </c>
      <c r="P24" s="110"/>
      <c r="Q24" s="110"/>
      <c r="R24" s="111"/>
      <c r="S24" s="39">
        <v>5.8</v>
      </c>
      <c r="T24" s="39">
        <f t="shared" si="4"/>
        <v>6.7</v>
      </c>
      <c r="U24" s="39">
        <f t="shared" si="2"/>
        <v>5.8</v>
      </c>
      <c r="V24" s="39">
        <f t="shared" si="3"/>
        <v>6.7</v>
      </c>
      <c r="W24" s="3"/>
    </row>
    <row r="25" spans="1:23" s="4" customFormat="1" ht="18" customHeight="1">
      <c r="A25" s="25">
        <f t="shared" si="5"/>
        <v>22</v>
      </c>
      <c r="B25" s="26" t="s">
        <v>25</v>
      </c>
      <c r="C25" s="25">
        <f t="shared" si="6"/>
        <v>22</v>
      </c>
      <c r="D25" s="109"/>
      <c r="E25" s="109"/>
      <c r="F25" s="109"/>
      <c r="G25" s="17"/>
      <c r="H25" s="18"/>
      <c r="I25" s="18"/>
      <c r="J25" s="19">
        <v>49</v>
      </c>
      <c r="K25" s="19">
        <v>9</v>
      </c>
      <c r="L25" s="19"/>
      <c r="M25" s="18">
        <f t="shared" si="0"/>
        <v>58</v>
      </c>
      <c r="N25" s="20">
        <v>1</v>
      </c>
      <c r="O25" s="28">
        <f t="shared" si="1"/>
        <v>58</v>
      </c>
      <c r="P25" s="110"/>
      <c r="Q25" s="110"/>
      <c r="R25" s="111"/>
      <c r="S25" s="39">
        <v>4.5999999999999996</v>
      </c>
      <c r="T25" s="39">
        <f t="shared" si="4"/>
        <v>5.5</v>
      </c>
      <c r="U25" s="39">
        <f t="shared" si="2"/>
        <v>4.5999999999999996</v>
      </c>
      <c r="V25" s="39">
        <f t="shared" si="3"/>
        <v>5.5</v>
      </c>
      <c r="W25" s="3"/>
    </row>
    <row r="26" spans="1:23" s="23" customFormat="1" ht="21.95" customHeight="1">
      <c r="A26" s="112" t="s">
        <v>2</v>
      </c>
      <c r="B26" s="112"/>
      <c r="C26" s="112"/>
      <c r="D26" s="112"/>
      <c r="E26" s="112"/>
      <c r="F26" s="112"/>
      <c r="G26" s="52">
        <f>O19+G24</f>
        <v>348</v>
      </c>
      <c r="H26" s="53">
        <f>O20+H24</f>
        <v>355</v>
      </c>
      <c r="I26" s="53">
        <f>O21+I24</f>
        <v>358</v>
      </c>
      <c r="J26" s="53">
        <f>O22+J25</f>
        <v>259</v>
      </c>
      <c r="K26" s="53">
        <f>O23+K25</f>
        <v>249</v>
      </c>
      <c r="L26" s="53"/>
      <c r="M26" s="54"/>
      <c r="N26" s="55">
        <f>SUM(N19:N25)</f>
        <v>22</v>
      </c>
      <c r="O26" s="56">
        <f>SUM(O19:O25)</f>
        <v>1569</v>
      </c>
      <c r="P26" s="113">
        <f>(P19*Q19*R19)/1000000*N26</f>
        <v>0.69115199999999999</v>
      </c>
      <c r="Q26" s="113"/>
      <c r="R26" s="113"/>
      <c r="S26" s="57"/>
      <c r="T26" s="58"/>
      <c r="U26" s="59">
        <f>SUM(U19:U25)</f>
        <v>127.99999999999999</v>
      </c>
      <c r="V26" s="59">
        <f>SUM(V19:V25)</f>
        <v>147.80000000000001</v>
      </c>
    </row>
    <row r="27" spans="1:23" ht="15" customHeight="1">
      <c r="A27" s="114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6"/>
      <c r="W27" s="2"/>
    </row>
    <row r="28" spans="1:23" s="6" customFormat="1" ht="15" customHeight="1">
      <c r="A28" s="103" t="s">
        <v>5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46"/>
      <c r="N28" s="47">
        <f>N26</f>
        <v>22</v>
      </c>
      <c r="O28" s="48">
        <f>O26</f>
        <v>1569</v>
      </c>
      <c r="P28" s="117">
        <f>P26</f>
        <v>0.69115199999999999</v>
      </c>
      <c r="Q28" s="117"/>
      <c r="R28" s="117"/>
      <c r="S28" s="49"/>
      <c r="T28" s="49"/>
      <c r="U28" s="50">
        <f>U26</f>
        <v>127.99999999999999</v>
      </c>
      <c r="V28" s="50">
        <f>V26</f>
        <v>147.80000000000001</v>
      </c>
      <c r="W28" s="5"/>
    </row>
    <row r="29" spans="1:23" ht="15" customHeight="1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</row>
    <row r="30" spans="1:23" s="7" customFormat="1" ht="30" customHeight="1">
      <c r="A30" s="106" t="s">
        <v>10</v>
      </c>
      <c r="B30" s="106"/>
      <c r="C30" s="106"/>
      <c r="D30" s="103" t="str">
        <f>D17</f>
        <v>COLOR</v>
      </c>
      <c r="E30" s="103"/>
      <c r="F30" s="103"/>
      <c r="G30" s="51" t="str">
        <f t="shared" ref="G30:L30" si="7">G18</f>
        <v>2</v>
      </c>
      <c r="H30" s="51" t="str">
        <f t="shared" si="7"/>
        <v>4</v>
      </c>
      <c r="I30" s="51">
        <f t="shared" si="7"/>
        <v>6</v>
      </c>
      <c r="J30" s="51">
        <f t="shared" si="7"/>
        <v>8</v>
      </c>
      <c r="K30" s="51">
        <f t="shared" si="7"/>
        <v>10</v>
      </c>
      <c r="L30" s="51">
        <f t="shared" si="7"/>
        <v>12</v>
      </c>
      <c r="M30" s="103" t="s">
        <v>2</v>
      </c>
      <c r="N30" s="103"/>
      <c r="O30" s="69"/>
      <c r="P30" s="69"/>
      <c r="S30" s="69"/>
      <c r="T30" s="69"/>
      <c r="U30" s="69"/>
      <c r="V30" s="69"/>
    </row>
    <row r="31" spans="1:23" s="7" customFormat="1" ht="24.95" customHeight="1">
      <c r="A31" s="119" t="s">
        <v>12</v>
      </c>
      <c r="B31" s="119"/>
      <c r="C31" s="119"/>
      <c r="D31" s="120" t="str">
        <f>D19</f>
        <v>Black</v>
      </c>
      <c r="E31" s="121"/>
      <c r="F31" s="121"/>
      <c r="G31" s="64">
        <v>350</v>
      </c>
      <c r="H31" s="64">
        <v>350</v>
      </c>
      <c r="I31" s="64">
        <v>350</v>
      </c>
      <c r="J31" s="64">
        <v>250</v>
      </c>
      <c r="K31" s="64">
        <v>250</v>
      </c>
      <c r="L31" s="64"/>
      <c r="M31" s="122">
        <f>G31+H31+I31+J31+K31+L31</f>
        <v>1550</v>
      </c>
      <c r="N31" s="122"/>
      <c r="O31" s="22"/>
      <c r="P31" s="21"/>
      <c r="S31" s="69"/>
      <c r="T31" s="69"/>
      <c r="U31" s="69"/>
      <c r="V31" s="69"/>
    </row>
    <row r="32" spans="1:23" s="7" customFormat="1" ht="24.95" customHeight="1">
      <c r="A32" s="119" t="s">
        <v>30</v>
      </c>
      <c r="B32" s="119"/>
      <c r="C32" s="119"/>
      <c r="D32" s="121"/>
      <c r="E32" s="121"/>
      <c r="F32" s="121"/>
      <c r="G32" s="64">
        <f t="shared" ref="G32:K32" si="8">G26</f>
        <v>348</v>
      </c>
      <c r="H32" s="64">
        <f t="shared" si="8"/>
        <v>355</v>
      </c>
      <c r="I32" s="64">
        <f t="shared" si="8"/>
        <v>358</v>
      </c>
      <c r="J32" s="64">
        <f t="shared" si="8"/>
        <v>259</v>
      </c>
      <c r="K32" s="64">
        <f t="shared" si="8"/>
        <v>249</v>
      </c>
      <c r="L32" s="64">
        <f>L26</f>
        <v>0</v>
      </c>
      <c r="M32" s="122">
        <f>G32+H32+I32+J32+K32+L32</f>
        <v>1569</v>
      </c>
      <c r="N32" s="122"/>
      <c r="O32" s="22"/>
      <c r="P32" s="21"/>
      <c r="S32" s="69"/>
      <c r="T32" s="69"/>
      <c r="U32" s="69"/>
      <c r="V32" s="69"/>
    </row>
  </sheetData>
  <mergeCells count="40">
    <mergeCell ref="A31:C31"/>
    <mergeCell ref="D31:F32"/>
    <mergeCell ref="M31:N31"/>
    <mergeCell ref="A32:C32"/>
    <mergeCell ref="M32:N32"/>
    <mergeCell ref="A27:V27"/>
    <mergeCell ref="A28:L28"/>
    <mergeCell ref="P28:R28"/>
    <mergeCell ref="A29:V29"/>
    <mergeCell ref="A30:C30"/>
    <mergeCell ref="D30:F30"/>
    <mergeCell ref="M30:N30"/>
    <mergeCell ref="D19:F25"/>
    <mergeCell ref="P19:P25"/>
    <mergeCell ref="Q19:Q25"/>
    <mergeCell ref="R19:R25"/>
    <mergeCell ref="A26:F26"/>
    <mergeCell ref="P26:R26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C2032-D80B-41CA-8EEE-88D06E83C0A2}">
  <sheetPr>
    <tabColor rgb="FFFF5050"/>
    <pageSetUpPr fitToPage="1"/>
  </sheetPr>
  <dimension ref="A1:W33"/>
  <sheetViews>
    <sheetView showGridLines="0" view="pageBreakPreview" topLeftCell="A15" zoomScaleNormal="62" zoomScaleSheetLayoutView="100" workbookViewId="0">
      <selection activeCell="S27" sqref="S27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131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132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1200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M33</f>
        <v>1243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43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N29</f>
        <v>33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134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65" t="s">
        <v>22</v>
      </c>
      <c r="J18" s="65" t="s">
        <v>93</v>
      </c>
      <c r="K18" s="65" t="s">
        <v>94</v>
      </c>
      <c r="L18" s="65" t="s">
        <v>95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3</v>
      </c>
      <c r="D19" s="109" t="s">
        <v>133</v>
      </c>
      <c r="E19" s="109"/>
      <c r="F19" s="109"/>
      <c r="G19" s="17">
        <v>45</v>
      </c>
      <c r="H19" s="18"/>
      <c r="I19" s="18"/>
      <c r="J19" s="19"/>
      <c r="K19" s="19"/>
      <c r="L19" s="19"/>
      <c r="M19" s="18">
        <f t="shared" ref="M19:M26" si="0">SUM(G19:L19)</f>
        <v>45</v>
      </c>
      <c r="N19" s="20">
        <v>3</v>
      </c>
      <c r="O19" s="28">
        <f t="shared" ref="O19:O26" si="1">M19*N19</f>
        <v>135</v>
      </c>
      <c r="P19" s="110">
        <v>55</v>
      </c>
      <c r="Q19" s="110">
        <v>35</v>
      </c>
      <c r="R19" s="111">
        <v>26</v>
      </c>
      <c r="S19" s="39">
        <v>9.6999999999999993</v>
      </c>
      <c r="T19" s="39">
        <f>S19+1.2</f>
        <v>10.899999999999999</v>
      </c>
      <c r="U19" s="39">
        <f t="shared" ref="U19:U26" si="2">S19*N19</f>
        <v>29.099999999999998</v>
      </c>
      <c r="V19" s="39">
        <f t="shared" ref="V19:V26" si="3">T19*N19</f>
        <v>32.699999999999996</v>
      </c>
      <c r="W19" s="3"/>
    </row>
    <row r="20" spans="1:23" s="4" customFormat="1" ht="18" customHeight="1">
      <c r="A20" s="25">
        <f>C19+1</f>
        <v>4</v>
      </c>
      <c r="B20" s="26" t="s">
        <v>25</v>
      </c>
      <c r="C20" s="25">
        <f>C19+N20</f>
        <v>9</v>
      </c>
      <c r="D20" s="109"/>
      <c r="E20" s="109"/>
      <c r="F20" s="109"/>
      <c r="G20" s="17"/>
      <c r="H20" s="18">
        <v>40</v>
      </c>
      <c r="I20" s="18"/>
      <c r="J20" s="19"/>
      <c r="K20" s="19"/>
      <c r="L20" s="19"/>
      <c r="M20" s="18">
        <f t="shared" si="0"/>
        <v>40</v>
      </c>
      <c r="N20" s="20">
        <v>6</v>
      </c>
      <c r="O20" s="28">
        <f t="shared" si="1"/>
        <v>240</v>
      </c>
      <c r="P20" s="110"/>
      <c r="Q20" s="110"/>
      <c r="R20" s="111"/>
      <c r="S20" s="39">
        <v>9.1999999999999993</v>
      </c>
      <c r="T20" s="39">
        <f t="shared" ref="T20:T26" si="4">S20+1.2</f>
        <v>10.399999999999999</v>
      </c>
      <c r="U20" s="39">
        <f t="shared" si="2"/>
        <v>55.199999999999996</v>
      </c>
      <c r="V20" s="39">
        <f t="shared" si="3"/>
        <v>62.399999999999991</v>
      </c>
      <c r="W20" s="3"/>
    </row>
    <row r="21" spans="1:23" s="4" customFormat="1" ht="18" customHeight="1">
      <c r="A21" s="25">
        <f t="shared" ref="A21:A26" si="5">C20+1</f>
        <v>10</v>
      </c>
      <c r="B21" s="26" t="s">
        <v>25</v>
      </c>
      <c r="C21" s="25">
        <f>C20+N21</f>
        <v>16</v>
      </c>
      <c r="D21" s="109"/>
      <c r="E21" s="109"/>
      <c r="F21" s="109"/>
      <c r="G21" s="17"/>
      <c r="H21" s="18"/>
      <c r="I21" s="18">
        <v>40</v>
      </c>
      <c r="J21" s="19"/>
      <c r="K21" s="19"/>
      <c r="L21" s="19"/>
      <c r="M21" s="18">
        <f t="shared" si="0"/>
        <v>40</v>
      </c>
      <c r="N21" s="20">
        <v>7</v>
      </c>
      <c r="O21" s="28">
        <f t="shared" si="1"/>
        <v>280</v>
      </c>
      <c r="P21" s="110"/>
      <c r="Q21" s="110"/>
      <c r="R21" s="111"/>
      <c r="S21" s="39">
        <v>9.5</v>
      </c>
      <c r="T21" s="39">
        <f t="shared" si="4"/>
        <v>10.7</v>
      </c>
      <c r="U21" s="39">
        <f t="shared" si="2"/>
        <v>66.5</v>
      </c>
      <c r="V21" s="39">
        <f t="shared" si="3"/>
        <v>74.899999999999991</v>
      </c>
      <c r="W21" s="3"/>
    </row>
    <row r="22" spans="1:23" s="4" customFormat="1" ht="18" customHeight="1">
      <c r="A22" s="25">
        <f t="shared" si="5"/>
        <v>17</v>
      </c>
      <c r="B22" s="26" t="s">
        <v>25</v>
      </c>
      <c r="C22" s="25">
        <f>C21+N22</f>
        <v>25</v>
      </c>
      <c r="D22" s="109"/>
      <c r="E22" s="109"/>
      <c r="F22" s="109"/>
      <c r="G22" s="17"/>
      <c r="H22" s="18"/>
      <c r="I22" s="18"/>
      <c r="J22" s="19">
        <v>35</v>
      </c>
      <c r="K22" s="19"/>
      <c r="L22" s="19"/>
      <c r="M22" s="18">
        <f t="shared" si="0"/>
        <v>35</v>
      </c>
      <c r="N22" s="20">
        <v>9</v>
      </c>
      <c r="O22" s="28">
        <f t="shared" si="1"/>
        <v>315</v>
      </c>
      <c r="P22" s="110"/>
      <c r="Q22" s="110"/>
      <c r="R22" s="111"/>
      <c r="S22" s="39">
        <v>8.5</v>
      </c>
      <c r="T22" s="39">
        <f t="shared" si="4"/>
        <v>9.6999999999999993</v>
      </c>
      <c r="U22" s="39">
        <f t="shared" si="2"/>
        <v>76.5</v>
      </c>
      <c r="V22" s="39">
        <f t="shared" si="3"/>
        <v>87.3</v>
      </c>
      <c r="W22" s="3"/>
    </row>
    <row r="23" spans="1:23" s="4" customFormat="1" ht="18" customHeight="1">
      <c r="A23" s="25">
        <f t="shared" si="5"/>
        <v>26</v>
      </c>
      <c r="B23" s="26" t="s">
        <v>25</v>
      </c>
      <c r="C23" s="25">
        <f>C22+N23</f>
        <v>30</v>
      </c>
      <c r="D23" s="109"/>
      <c r="E23" s="109"/>
      <c r="F23" s="109"/>
      <c r="G23" s="17"/>
      <c r="H23" s="18"/>
      <c r="I23" s="18"/>
      <c r="J23" s="19"/>
      <c r="K23" s="19">
        <v>35</v>
      </c>
      <c r="L23" s="19"/>
      <c r="M23" s="18">
        <f t="shared" si="0"/>
        <v>35</v>
      </c>
      <c r="N23" s="20">
        <v>5</v>
      </c>
      <c r="O23" s="28">
        <f t="shared" si="1"/>
        <v>175</v>
      </c>
      <c r="P23" s="110"/>
      <c r="Q23" s="110"/>
      <c r="R23" s="111"/>
      <c r="S23" s="39">
        <v>9.6</v>
      </c>
      <c r="T23" s="39">
        <f t="shared" si="4"/>
        <v>10.799999999999999</v>
      </c>
      <c r="U23" s="39">
        <f t="shared" si="2"/>
        <v>48</v>
      </c>
      <c r="V23" s="39">
        <f t="shared" si="3"/>
        <v>53.999999999999993</v>
      </c>
      <c r="W23" s="3"/>
    </row>
    <row r="24" spans="1:23" s="4" customFormat="1" ht="18" customHeight="1">
      <c r="A24" s="25">
        <f t="shared" si="5"/>
        <v>31</v>
      </c>
      <c r="B24" s="26" t="s">
        <v>25</v>
      </c>
      <c r="C24" s="25">
        <f t="shared" ref="C24:C26" si="6">C23+N24</f>
        <v>31</v>
      </c>
      <c r="D24" s="109"/>
      <c r="E24" s="109"/>
      <c r="F24" s="109"/>
      <c r="G24" s="17"/>
      <c r="H24" s="18"/>
      <c r="I24" s="18"/>
      <c r="J24" s="19">
        <v>25</v>
      </c>
      <c r="K24" s="19"/>
      <c r="L24" s="19"/>
      <c r="M24" s="18">
        <f t="shared" si="0"/>
        <v>25</v>
      </c>
      <c r="N24" s="20">
        <v>1</v>
      </c>
      <c r="O24" s="28">
        <f t="shared" si="1"/>
        <v>25</v>
      </c>
      <c r="P24" s="110"/>
      <c r="Q24" s="110"/>
      <c r="R24" s="111"/>
      <c r="S24" s="39">
        <v>5.2</v>
      </c>
      <c r="T24" s="39">
        <f t="shared" si="4"/>
        <v>6.4</v>
      </c>
      <c r="U24" s="39">
        <f t="shared" si="2"/>
        <v>5.2</v>
      </c>
      <c r="V24" s="39">
        <f t="shared" si="3"/>
        <v>6.4</v>
      </c>
      <c r="W24" s="3"/>
    </row>
    <row r="25" spans="1:23" s="4" customFormat="1" ht="18" customHeight="1">
      <c r="A25" s="25">
        <f t="shared" si="5"/>
        <v>32</v>
      </c>
      <c r="B25" s="26" t="s">
        <v>25</v>
      </c>
      <c r="C25" s="25">
        <f t="shared" si="6"/>
        <v>32</v>
      </c>
      <c r="D25" s="109"/>
      <c r="E25" s="109"/>
      <c r="F25" s="109"/>
      <c r="G25" s="17">
        <v>18</v>
      </c>
      <c r="H25" s="18"/>
      <c r="I25" s="18"/>
      <c r="J25" s="19"/>
      <c r="K25" s="19">
        <v>13</v>
      </c>
      <c r="L25" s="19"/>
      <c r="M25" s="18">
        <f t="shared" si="0"/>
        <v>31</v>
      </c>
      <c r="N25" s="20">
        <v>1</v>
      </c>
      <c r="O25" s="28">
        <f t="shared" si="1"/>
        <v>31</v>
      </c>
      <c r="P25" s="110"/>
      <c r="Q25" s="110"/>
      <c r="R25" s="111"/>
      <c r="S25" s="39">
        <v>7.8</v>
      </c>
      <c r="T25" s="39">
        <f t="shared" si="4"/>
        <v>9</v>
      </c>
      <c r="U25" s="39">
        <f t="shared" si="2"/>
        <v>7.8</v>
      </c>
      <c r="V25" s="39">
        <f t="shared" si="3"/>
        <v>9</v>
      </c>
      <c r="W25" s="3"/>
    </row>
    <row r="26" spans="1:23" s="4" customFormat="1" ht="18" customHeight="1">
      <c r="A26" s="25">
        <f t="shared" si="5"/>
        <v>33</v>
      </c>
      <c r="B26" s="26" t="s">
        <v>25</v>
      </c>
      <c r="C26" s="25">
        <f t="shared" si="6"/>
        <v>33</v>
      </c>
      <c r="D26" s="109"/>
      <c r="E26" s="109"/>
      <c r="F26" s="109"/>
      <c r="G26" s="17"/>
      <c r="H26" s="18">
        <v>13</v>
      </c>
      <c r="I26" s="18">
        <v>29</v>
      </c>
      <c r="J26" s="19"/>
      <c r="K26" s="19"/>
      <c r="L26" s="19"/>
      <c r="M26" s="18">
        <f t="shared" si="0"/>
        <v>42</v>
      </c>
      <c r="N26" s="20">
        <v>1</v>
      </c>
      <c r="O26" s="28">
        <f t="shared" si="1"/>
        <v>42</v>
      </c>
      <c r="P26" s="110"/>
      <c r="Q26" s="110"/>
      <c r="R26" s="111"/>
      <c r="S26" s="39">
        <v>9.8000000000000007</v>
      </c>
      <c r="T26" s="39">
        <f t="shared" si="4"/>
        <v>11</v>
      </c>
      <c r="U26" s="39">
        <f t="shared" si="2"/>
        <v>9.8000000000000007</v>
      </c>
      <c r="V26" s="39">
        <f t="shared" si="3"/>
        <v>11</v>
      </c>
      <c r="W26" s="3"/>
    </row>
    <row r="27" spans="1:23" s="23" customFormat="1" ht="21.95" customHeight="1">
      <c r="A27" s="112" t="s">
        <v>2</v>
      </c>
      <c r="B27" s="112"/>
      <c r="C27" s="112"/>
      <c r="D27" s="112"/>
      <c r="E27" s="112"/>
      <c r="F27" s="112"/>
      <c r="G27" s="52">
        <f>O19+G25</f>
        <v>153</v>
      </c>
      <c r="H27" s="53">
        <f>O20+H26</f>
        <v>253</v>
      </c>
      <c r="I27" s="53">
        <f>O21+I26</f>
        <v>309</v>
      </c>
      <c r="J27" s="53">
        <f>O22+J24</f>
        <v>340</v>
      </c>
      <c r="K27" s="53">
        <f>O23+K25</f>
        <v>188</v>
      </c>
      <c r="L27" s="53"/>
      <c r="M27" s="54"/>
      <c r="N27" s="55">
        <f>SUM(N19:N26)</f>
        <v>33</v>
      </c>
      <c r="O27" s="56">
        <f>SUM(O19:O26)</f>
        <v>1243</v>
      </c>
      <c r="P27" s="113">
        <f>(P19*Q19*R19)/1000000*N27</f>
        <v>1.6516499999999998</v>
      </c>
      <c r="Q27" s="113"/>
      <c r="R27" s="113"/>
      <c r="S27" s="57"/>
      <c r="T27" s="58"/>
      <c r="U27" s="59">
        <f>SUM(U19:U26)</f>
        <v>298.10000000000002</v>
      </c>
      <c r="V27" s="59">
        <f>SUM(V19:V26)</f>
        <v>337.7</v>
      </c>
    </row>
    <row r="28" spans="1:23" ht="15" customHeight="1">
      <c r="A28" s="114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6"/>
      <c r="W28" s="2"/>
    </row>
    <row r="29" spans="1:23" s="6" customFormat="1" ht="15" customHeight="1">
      <c r="A29" s="103" t="s">
        <v>5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46"/>
      <c r="N29" s="47">
        <f>N27</f>
        <v>33</v>
      </c>
      <c r="O29" s="48">
        <f>O27</f>
        <v>1243</v>
      </c>
      <c r="P29" s="117">
        <f>P27</f>
        <v>1.6516499999999998</v>
      </c>
      <c r="Q29" s="117"/>
      <c r="R29" s="117"/>
      <c r="S29" s="49"/>
      <c r="T29" s="49"/>
      <c r="U29" s="50">
        <f>U27</f>
        <v>298.10000000000002</v>
      </c>
      <c r="V29" s="50">
        <f>V27</f>
        <v>337.7</v>
      </c>
      <c r="W29" s="5"/>
    </row>
    <row r="30" spans="1:23" ht="15" customHeight="1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</row>
    <row r="31" spans="1:23" s="7" customFormat="1" ht="30" customHeight="1">
      <c r="A31" s="106" t="s">
        <v>10</v>
      </c>
      <c r="B31" s="106"/>
      <c r="C31" s="106"/>
      <c r="D31" s="103" t="str">
        <f>D17</f>
        <v>COLOR</v>
      </c>
      <c r="E31" s="103"/>
      <c r="F31" s="103"/>
      <c r="G31" s="51" t="str">
        <f t="shared" ref="G31:L31" si="7">G18</f>
        <v>S</v>
      </c>
      <c r="H31" s="51" t="str">
        <f t="shared" si="7"/>
        <v>M</v>
      </c>
      <c r="I31" s="51" t="str">
        <f t="shared" si="7"/>
        <v>L</v>
      </c>
      <c r="J31" s="51" t="str">
        <f t="shared" si="7"/>
        <v>XL</v>
      </c>
      <c r="K31" s="51" t="str">
        <f t="shared" si="7"/>
        <v>XXL</v>
      </c>
      <c r="L31" s="51" t="str">
        <f t="shared" si="7"/>
        <v>3XL</v>
      </c>
      <c r="M31" s="103" t="s">
        <v>2</v>
      </c>
      <c r="N31" s="103"/>
      <c r="O31" s="69"/>
      <c r="P31" s="69"/>
      <c r="S31" s="69"/>
      <c r="T31" s="69"/>
      <c r="U31" s="69"/>
      <c r="V31" s="69"/>
    </row>
    <row r="32" spans="1:23" s="7" customFormat="1" ht="24.95" customHeight="1">
      <c r="A32" s="119" t="s">
        <v>12</v>
      </c>
      <c r="B32" s="119"/>
      <c r="C32" s="119"/>
      <c r="D32" s="120" t="str">
        <f>D19</f>
        <v>Black/Grey</v>
      </c>
      <c r="E32" s="121"/>
      <c r="F32" s="121"/>
      <c r="G32" s="64">
        <v>150</v>
      </c>
      <c r="H32" s="64">
        <v>240</v>
      </c>
      <c r="I32" s="64">
        <v>300</v>
      </c>
      <c r="J32" s="64">
        <v>330</v>
      </c>
      <c r="K32" s="64">
        <v>180</v>
      </c>
      <c r="L32" s="64"/>
      <c r="M32" s="122">
        <f>G32+H32+I32+J32+K32+L32</f>
        <v>1200</v>
      </c>
      <c r="N32" s="122"/>
      <c r="O32" s="22"/>
      <c r="P32" s="21"/>
      <c r="S32" s="69"/>
      <c r="T32" s="69"/>
      <c r="U32" s="69"/>
      <c r="V32" s="69"/>
    </row>
    <row r="33" spans="1:22" s="7" customFormat="1" ht="24.95" customHeight="1">
      <c r="A33" s="119" t="s">
        <v>30</v>
      </c>
      <c r="B33" s="119"/>
      <c r="C33" s="119"/>
      <c r="D33" s="121"/>
      <c r="E33" s="121"/>
      <c r="F33" s="121"/>
      <c r="G33" s="64">
        <f t="shared" ref="G33:K33" si="8">G27</f>
        <v>153</v>
      </c>
      <c r="H33" s="64">
        <f t="shared" si="8"/>
        <v>253</v>
      </c>
      <c r="I33" s="64">
        <f t="shared" si="8"/>
        <v>309</v>
      </c>
      <c r="J33" s="64">
        <f t="shared" si="8"/>
        <v>340</v>
      </c>
      <c r="K33" s="64">
        <f t="shared" si="8"/>
        <v>188</v>
      </c>
      <c r="L33" s="64">
        <f>L27</f>
        <v>0</v>
      </c>
      <c r="M33" s="122">
        <f>G33+H33+I33+J33+K33+L33</f>
        <v>1243</v>
      </c>
      <c r="N33" s="122"/>
      <c r="O33" s="22"/>
      <c r="P33" s="21"/>
      <c r="S33" s="69"/>
      <c r="T33" s="69"/>
      <c r="U33" s="69"/>
      <c r="V33" s="69"/>
    </row>
  </sheetData>
  <mergeCells count="40">
    <mergeCell ref="A32:C32"/>
    <mergeCell ref="D32:F33"/>
    <mergeCell ref="M32:N32"/>
    <mergeCell ref="A33:C33"/>
    <mergeCell ref="M33:N33"/>
    <mergeCell ref="A28:V28"/>
    <mergeCell ref="A29:L29"/>
    <mergeCell ref="P29:R29"/>
    <mergeCell ref="A30:V30"/>
    <mergeCell ref="A31:C31"/>
    <mergeCell ref="D31:F31"/>
    <mergeCell ref="M31:N31"/>
    <mergeCell ref="D19:F26"/>
    <mergeCell ref="P19:P26"/>
    <mergeCell ref="Q19:Q26"/>
    <mergeCell ref="R19:R26"/>
    <mergeCell ref="A27:F27"/>
    <mergeCell ref="P27:R27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15A67-6866-497C-B0E1-62349F838D95}">
  <sheetPr>
    <tabColor theme="9" tint="-0.249977111117893"/>
    <pageSetUpPr fitToPage="1"/>
  </sheetPr>
  <dimension ref="A1:W33"/>
  <sheetViews>
    <sheetView showGridLines="0" view="pageBreakPreview" topLeftCell="A15" zoomScaleNormal="62" zoomScaleSheetLayoutView="100" workbookViewId="0">
      <selection activeCell="P32" sqref="P32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135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136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1560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M33</f>
        <v>1427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-133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N29</f>
        <v>38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134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65" t="s">
        <v>22</v>
      </c>
      <c r="J18" s="65" t="s">
        <v>93</v>
      </c>
      <c r="K18" s="65" t="s">
        <v>94</v>
      </c>
      <c r="L18" s="65" t="s">
        <v>95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4</v>
      </c>
      <c r="D19" s="109" t="s">
        <v>137</v>
      </c>
      <c r="E19" s="109"/>
      <c r="F19" s="109"/>
      <c r="G19" s="17">
        <v>45</v>
      </c>
      <c r="H19" s="18"/>
      <c r="I19" s="18"/>
      <c r="J19" s="19"/>
      <c r="K19" s="19"/>
      <c r="L19" s="19"/>
      <c r="M19" s="18">
        <f t="shared" ref="M19:M26" si="0">SUM(G19:L19)</f>
        <v>45</v>
      </c>
      <c r="N19" s="20">
        <v>4</v>
      </c>
      <c r="O19" s="28">
        <f t="shared" ref="O19:O26" si="1">M19*N19</f>
        <v>180</v>
      </c>
      <c r="P19" s="110">
        <v>55</v>
      </c>
      <c r="Q19" s="110">
        <v>35</v>
      </c>
      <c r="R19" s="111">
        <v>26</v>
      </c>
      <c r="S19" s="39">
        <v>9.6999999999999993</v>
      </c>
      <c r="T19" s="39">
        <f>S19+1.2</f>
        <v>10.899999999999999</v>
      </c>
      <c r="U19" s="39">
        <f t="shared" ref="U19:U26" si="2">S19*N19</f>
        <v>38.799999999999997</v>
      </c>
      <c r="V19" s="39">
        <f t="shared" ref="V19:V26" si="3">T19*N19</f>
        <v>43.599999999999994</v>
      </c>
      <c r="W19" s="3"/>
    </row>
    <row r="20" spans="1:23" s="4" customFormat="1" ht="18" customHeight="1">
      <c r="A20" s="25">
        <f>C19+1</f>
        <v>5</v>
      </c>
      <c r="B20" s="26" t="s">
        <v>25</v>
      </c>
      <c r="C20" s="25">
        <f>C19+N20</f>
        <v>12</v>
      </c>
      <c r="D20" s="109"/>
      <c r="E20" s="109"/>
      <c r="F20" s="109"/>
      <c r="G20" s="17"/>
      <c r="H20" s="18">
        <v>40</v>
      </c>
      <c r="I20" s="18"/>
      <c r="J20" s="19"/>
      <c r="K20" s="19"/>
      <c r="L20" s="19"/>
      <c r="M20" s="18">
        <f t="shared" si="0"/>
        <v>40</v>
      </c>
      <c r="N20" s="20">
        <v>8</v>
      </c>
      <c r="O20" s="28">
        <f t="shared" si="1"/>
        <v>320</v>
      </c>
      <c r="P20" s="110"/>
      <c r="Q20" s="110"/>
      <c r="R20" s="111"/>
      <c r="S20" s="39">
        <v>9.1999999999999993</v>
      </c>
      <c r="T20" s="39">
        <f t="shared" ref="T20:T26" si="4">S20+1.2</f>
        <v>10.399999999999999</v>
      </c>
      <c r="U20" s="39">
        <f t="shared" si="2"/>
        <v>73.599999999999994</v>
      </c>
      <c r="V20" s="39">
        <f t="shared" si="3"/>
        <v>83.199999999999989</v>
      </c>
      <c r="W20" s="3"/>
    </row>
    <row r="21" spans="1:23" s="4" customFormat="1" ht="18" customHeight="1">
      <c r="A21" s="25">
        <f t="shared" ref="A21:A26" si="5">C20+1</f>
        <v>13</v>
      </c>
      <c r="B21" s="26" t="s">
        <v>25</v>
      </c>
      <c r="C21" s="25">
        <f>C20+N21</f>
        <v>20</v>
      </c>
      <c r="D21" s="109"/>
      <c r="E21" s="109"/>
      <c r="F21" s="109"/>
      <c r="G21" s="17"/>
      <c r="H21" s="18"/>
      <c r="I21" s="18">
        <v>40</v>
      </c>
      <c r="J21" s="19"/>
      <c r="K21" s="19"/>
      <c r="L21" s="19"/>
      <c r="M21" s="18">
        <f t="shared" si="0"/>
        <v>40</v>
      </c>
      <c r="N21" s="20">
        <v>8</v>
      </c>
      <c r="O21" s="28">
        <f t="shared" si="1"/>
        <v>320</v>
      </c>
      <c r="P21" s="110"/>
      <c r="Q21" s="110"/>
      <c r="R21" s="111"/>
      <c r="S21" s="39">
        <v>9.5</v>
      </c>
      <c r="T21" s="39">
        <f t="shared" si="4"/>
        <v>10.7</v>
      </c>
      <c r="U21" s="39">
        <f t="shared" si="2"/>
        <v>76</v>
      </c>
      <c r="V21" s="39">
        <f t="shared" si="3"/>
        <v>85.6</v>
      </c>
      <c r="W21" s="3"/>
    </row>
    <row r="22" spans="1:23" s="4" customFormat="1" ht="18" customHeight="1">
      <c r="A22" s="25">
        <f t="shared" si="5"/>
        <v>21</v>
      </c>
      <c r="B22" s="26" t="s">
        <v>25</v>
      </c>
      <c r="C22" s="25">
        <f>C21+N22</f>
        <v>29</v>
      </c>
      <c r="D22" s="109"/>
      <c r="E22" s="109"/>
      <c r="F22" s="109"/>
      <c r="G22" s="17"/>
      <c r="H22" s="18"/>
      <c r="I22" s="18"/>
      <c r="J22" s="19">
        <v>35</v>
      </c>
      <c r="K22" s="19"/>
      <c r="L22" s="19"/>
      <c r="M22" s="18">
        <f t="shared" si="0"/>
        <v>35</v>
      </c>
      <c r="N22" s="20">
        <v>9</v>
      </c>
      <c r="O22" s="28">
        <f t="shared" si="1"/>
        <v>315</v>
      </c>
      <c r="P22" s="110"/>
      <c r="Q22" s="110"/>
      <c r="R22" s="111"/>
      <c r="S22" s="39">
        <v>8.5</v>
      </c>
      <c r="T22" s="39">
        <f t="shared" si="4"/>
        <v>9.6999999999999993</v>
      </c>
      <c r="U22" s="39">
        <f t="shared" si="2"/>
        <v>76.5</v>
      </c>
      <c r="V22" s="39">
        <f t="shared" si="3"/>
        <v>87.3</v>
      </c>
      <c r="W22" s="3"/>
    </row>
    <row r="23" spans="1:23" s="4" customFormat="1" ht="18" customHeight="1">
      <c r="A23" s="25">
        <f t="shared" si="5"/>
        <v>30</v>
      </c>
      <c r="B23" s="26" t="s">
        <v>25</v>
      </c>
      <c r="C23" s="25">
        <f>C22+N23</f>
        <v>35</v>
      </c>
      <c r="D23" s="109"/>
      <c r="E23" s="109"/>
      <c r="F23" s="109"/>
      <c r="G23" s="17"/>
      <c r="H23" s="18"/>
      <c r="I23" s="18"/>
      <c r="J23" s="19"/>
      <c r="K23" s="19">
        <v>35</v>
      </c>
      <c r="L23" s="19"/>
      <c r="M23" s="18">
        <f t="shared" si="0"/>
        <v>35</v>
      </c>
      <c r="N23" s="20">
        <v>6</v>
      </c>
      <c r="O23" s="28">
        <f t="shared" si="1"/>
        <v>210</v>
      </c>
      <c r="P23" s="110"/>
      <c r="Q23" s="110"/>
      <c r="R23" s="111"/>
      <c r="S23" s="39">
        <v>9.6</v>
      </c>
      <c r="T23" s="39">
        <f t="shared" si="4"/>
        <v>10.799999999999999</v>
      </c>
      <c r="U23" s="39">
        <f t="shared" si="2"/>
        <v>57.599999999999994</v>
      </c>
      <c r="V23" s="39">
        <f t="shared" si="3"/>
        <v>64.8</v>
      </c>
      <c r="W23" s="3"/>
    </row>
    <row r="24" spans="1:23" s="4" customFormat="1" ht="18" customHeight="1">
      <c r="A24" s="25">
        <f t="shared" si="5"/>
        <v>36</v>
      </c>
      <c r="B24" s="26" t="s">
        <v>25</v>
      </c>
      <c r="C24" s="25">
        <f t="shared" ref="C24:C26" si="6">C23+N24</f>
        <v>36</v>
      </c>
      <c r="D24" s="109"/>
      <c r="E24" s="109"/>
      <c r="F24" s="109"/>
      <c r="G24" s="17"/>
      <c r="H24" s="18"/>
      <c r="I24" s="18">
        <v>24</v>
      </c>
      <c r="J24" s="19"/>
      <c r="K24" s="19"/>
      <c r="L24" s="19"/>
      <c r="M24" s="18">
        <f t="shared" si="0"/>
        <v>24</v>
      </c>
      <c r="N24" s="20">
        <v>1</v>
      </c>
      <c r="O24" s="28">
        <f t="shared" si="1"/>
        <v>24</v>
      </c>
      <c r="P24" s="110"/>
      <c r="Q24" s="110"/>
      <c r="R24" s="111"/>
      <c r="S24" s="39">
        <v>8.1</v>
      </c>
      <c r="T24" s="39">
        <f t="shared" si="4"/>
        <v>9.2999999999999989</v>
      </c>
      <c r="U24" s="39">
        <f t="shared" si="2"/>
        <v>8.1</v>
      </c>
      <c r="V24" s="39">
        <f t="shared" si="3"/>
        <v>9.2999999999999989</v>
      </c>
      <c r="W24" s="3"/>
    </row>
    <row r="25" spans="1:23" s="4" customFormat="1" ht="18" customHeight="1">
      <c r="A25" s="25">
        <f t="shared" si="5"/>
        <v>37</v>
      </c>
      <c r="B25" s="26" t="s">
        <v>25</v>
      </c>
      <c r="C25" s="25">
        <f t="shared" si="6"/>
        <v>37</v>
      </c>
      <c r="D25" s="109"/>
      <c r="E25" s="109"/>
      <c r="F25" s="109"/>
      <c r="G25" s="17"/>
      <c r="H25" s="18"/>
      <c r="I25" s="18"/>
      <c r="J25" s="19"/>
      <c r="K25" s="19">
        <v>26</v>
      </c>
      <c r="L25" s="19"/>
      <c r="M25" s="18">
        <f t="shared" si="0"/>
        <v>26</v>
      </c>
      <c r="N25" s="20">
        <v>1</v>
      </c>
      <c r="O25" s="28">
        <f t="shared" si="1"/>
        <v>26</v>
      </c>
      <c r="P25" s="110"/>
      <c r="Q25" s="110"/>
      <c r="R25" s="111"/>
      <c r="S25" s="39">
        <v>7.8</v>
      </c>
      <c r="T25" s="39">
        <f t="shared" si="4"/>
        <v>9</v>
      </c>
      <c r="U25" s="39">
        <f t="shared" si="2"/>
        <v>7.8</v>
      </c>
      <c r="V25" s="39">
        <f t="shared" si="3"/>
        <v>9</v>
      </c>
      <c r="W25" s="3"/>
    </row>
    <row r="26" spans="1:23" s="4" customFormat="1" ht="18" customHeight="1">
      <c r="A26" s="25">
        <f t="shared" si="5"/>
        <v>38</v>
      </c>
      <c r="B26" s="26" t="s">
        <v>25</v>
      </c>
      <c r="C26" s="25">
        <f t="shared" si="6"/>
        <v>38</v>
      </c>
      <c r="D26" s="109"/>
      <c r="E26" s="109"/>
      <c r="F26" s="109"/>
      <c r="G26" s="17">
        <v>19</v>
      </c>
      <c r="H26" s="18"/>
      <c r="I26" s="18"/>
      <c r="J26" s="19">
        <v>13</v>
      </c>
      <c r="K26" s="19"/>
      <c r="L26" s="19"/>
      <c r="M26" s="18">
        <f t="shared" si="0"/>
        <v>32</v>
      </c>
      <c r="N26" s="20">
        <v>1</v>
      </c>
      <c r="O26" s="28">
        <f t="shared" si="1"/>
        <v>32</v>
      </c>
      <c r="P26" s="110"/>
      <c r="Q26" s="110"/>
      <c r="R26" s="111"/>
      <c r="S26" s="39">
        <v>8.6</v>
      </c>
      <c r="T26" s="39">
        <f t="shared" si="4"/>
        <v>9.7999999999999989</v>
      </c>
      <c r="U26" s="39">
        <f t="shared" si="2"/>
        <v>8.6</v>
      </c>
      <c r="V26" s="39">
        <f t="shared" si="3"/>
        <v>9.7999999999999989</v>
      </c>
      <c r="W26" s="3"/>
    </row>
    <row r="27" spans="1:23" s="23" customFormat="1" ht="21.95" customHeight="1">
      <c r="A27" s="112" t="s">
        <v>2</v>
      </c>
      <c r="B27" s="112"/>
      <c r="C27" s="112"/>
      <c r="D27" s="112"/>
      <c r="E27" s="112"/>
      <c r="F27" s="112"/>
      <c r="G27" s="52">
        <f>O19+G26</f>
        <v>199</v>
      </c>
      <c r="H27" s="53">
        <f>O20+H24</f>
        <v>320</v>
      </c>
      <c r="I27" s="53">
        <f>O21+I24</f>
        <v>344</v>
      </c>
      <c r="J27" s="53">
        <f>O22+J26</f>
        <v>328</v>
      </c>
      <c r="K27" s="53">
        <f>O23+K25</f>
        <v>236</v>
      </c>
      <c r="L27" s="53"/>
      <c r="M27" s="54"/>
      <c r="N27" s="55">
        <f>SUM(N19:N26)</f>
        <v>38</v>
      </c>
      <c r="O27" s="56">
        <f>SUM(O19:O26)</f>
        <v>1427</v>
      </c>
      <c r="P27" s="113">
        <f>(P19*Q19*R19)/1000000*N27</f>
        <v>1.9018999999999999</v>
      </c>
      <c r="Q27" s="113"/>
      <c r="R27" s="113"/>
      <c r="S27" s="57"/>
      <c r="T27" s="58"/>
      <c r="U27" s="59">
        <f>SUM(U19:U26)</f>
        <v>347.00000000000006</v>
      </c>
      <c r="V27" s="59">
        <f>SUM(V19:V26)</f>
        <v>392.6</v>
      </c>
    </row>
    <row r="28" spans="1:23" ht="15" customHeight="1">
      <c r="A28" s="114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6"/>
      <c r="W28" s="2"/>
    </row>
    <row r="29" spans="1:23" s="6" customFormat="1" ht="15" customHeight="1">
      <c r="A29" s="103" t="s">
        <v>5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46"/>
      <c r="N29" s="47">
        <f>N27</f>
        <v>38</v>
      </c>
      <c r="O29" s="48">
        <f>O27</f>
        <v>1427</v>
      </c>
      <c r="P29" s="117">
        <f>P27</f>
        <v>1.9018999999999999</v>
      </c>
      <c r="Q29" s="117"/>
      <c r="R29" s="117"/>
      <c r="S29" s="49"/>
      <c r="T29" s="49"/>
      <c r="U29" s="50">
        <f>U27</f>
        <v>347.00000000000006</v>
      </c>
      <c r="V29" s="50">
        <f>V27</f>
        <v>392.6</v>
      </c>
      <c r="W29" s="5"/>
    </row>
    <row r="30" spans="1:23" ht="15" customHeight="1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</row>
    <row r="31" spans="1:23" s="7" customFormat="1" ht="30" customHeight="1">
      <c r="A31" s="106" t="s">
        <v>10</v>
      </c>
      <c r="B31" s="106"/>
      <c r="C31" s="106"/>
      <c r="D31" s="103" t="str">
        <f>D17</f>
        <v>COLOR</v>
      </c>
      <c r="E31" s="103"/>
      <c r="F31" s="103"/>
      <c r="G31" s="51" t="str">
        <f>G18</f>
        <v>S</v>
      </c>
      <c r="H31" s="51" t="str">
        <f>H18</f>
        <v>M</v>
      </c>
      <c r="I31" s="51" t="str">
        <f>I18</f>
        <v>L</v>
      </c>
      <c r="J31" s="51" t="str">
        <f>J18</f>
        <v>XL</v>
      </c>
      <c r="K31" s="51" t="str">
        <f>K18</f>
        <v>XXL</v>
      </c>
      <c r="L31" s="51" t="str">
        <f>L18</f>
        <v>3XL</v>
      </c>
      <c r="M31" s="103" t="s">
        <v>2</v>
      </c>
      <c r="N31" s="103"/>
      <c r="O31" s="69"/>
      <c r="P31" s="69"/>
      <c r="S31" s="69"/>
      <c r="T31" s="69"/>
      <c r="U31" s="69"/>
      <c r="V31" s="69"/>
    </row>
    <row r="32" spans="1:23" s="7" customFormat="1" ht="24.95" customHeight="1">
      <c r="A32" s="119" t="s">
        <v>12</v>
      </c>
      <c r="B32" s="119"/>
      <c r="C32" s="119"/>
      <c r="D32" s="120" t="str">
        <f>D19</f>
        <v>Navy</v>
      </c>
      <c r="E32" s="121"/>
      <c r="F32" s="121"/>
      <c r="G32" s="64">
        <v>230</v>
      </c>
      <c r="H32" s="64">
        <v>350</v>
      </c>
      <c r="I32" s="64">
        <v>350</v>
      </c>
      <c r="J32" s="64">
        <v>350</v>
      </c>
      <c r="K32" s="64">
        <v>280</v>
      </c>
      <c r="L32" s="64"/>
      <c r="M32" s="122">
        <f>G32+H32+I32+J32+K32+L32</f>
        <v>1560</v>
      </c>
      <c r="N32" s="122"/>
      <c r="O32" s="22"/>
      <c r="P32" s="21"/>
      <c r="S32" s="69"/>
      <c r="T32" s="69"/>
      <c r="U32" s="69"/>
      <c r="V32" s="69"/>
    </row>
    <row r="33" spans="1:22" s="7" customFormat="1" ht="24.95" customHeight="1">
      <c r="A33" s="119" t="s">
        <v>30</v>
      </c>
      <c r="B33" s="119"/>
      <c r="C33" s="119"/>
      <c r="D33" s="121"/>
      <c r="E33" s="121"/>
      <c r="F33" s="121"/>
      <c r="G33" s="64">
        <f t="shared" ref="G33:K33" si="7">G27</f>
        <v>199</v>
      </c>
      <c r="H33" s="64">
        <f t="shared" si="7"/>
        <v>320</v>
      </c>
      <c r="I33" s="64">
        <f t="shared" si="7"/>
        <v>344</v>
      </c>
      <c r="J33" s="64">
        <f t="shared" si="7"/>
        <v>328</v>
      </c>
      <c r="K33" s="64">
        <f t="shared" si="7"/>
        <v>236</v>
      </c>
      <c r="L33" s="64">
        <f>L27</f>
        <v>0</v>
      </c>
      <c r="M33" s="122">
        <f>G33+H33+I33+J33+K33+L33</f>
        <v>1427</v>
      </c>
      <c r="N33" s="122"/>
      <c r="O33" s="22"/>
      <c r="P33" s="21"/>
      <c r="S33" s="69"/>
      <c r="T33" s="69"/>
      <c r="U33" s="69"/>
      <c r="V33" s="69"/>
    </row>
  </sheetData>
  <mergeCells count="40">
    <mergeCell ref="A32:C32"/>
    <mergeCell ref="D32:F33"/>
    <mergeCell ref="M32:N32"/>
    <mergeCell ref="A33:C33"/>
    <mergeCell ref="M33:N33"/>
    <mergeCell ref="A28:V28"/>
    <mergeCell ref="A29:L29"/>
    <mergeCell ref="P29:R29"/>
    <mergeCell ref="A30:V30"/>
    <mergeCell ref="A31:C31"/>
    <mergeCell ref="D31:F31"/>
    <mergeCell ref="M31:N31"/>
    <mergeCell ref="D19:F26"/>
    <mergeCell ref="P19:P26"/>
    <mergeCell ref="Q19:Q26"/>
    <mergeCell ref="R19:R26"/>
    <mergeCell ref="A27:F27"/>
    <mergeCell ref="P27:R27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658EE-0450-407E-A31C-D68738C1EDFF}">
  <sheetPr>
    <tabColor theme="9" tint="-0.249977111117893"/>
    <pageSetUpPr fitToPage="1"/>
  </sheetPr>
  <dimension ref="A1:W32"/>
  <sheetViews>
    <sheetView showGridLines="0" view="pageBreakPreview" topLeftCell="A6" zoomScaleNormal="62" zoomScaleSheetLayoutView="100" workbookViewId="0">
      <selection activeCell="S26" sqref="S26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138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139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1350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M32</f>
        <v>1420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70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N28</f>
        <v>50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140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65" t="s">
        <v>22</v>
      </c>
      <c r="J18" s="65" t="s">
        <v>93</v>
      </c>
      <c r="K18" s="65" t="s">
        <v>94</v>
      </c>
      <c r="L18" s="65" t="s">
        <v>95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7</v>
      </c>
      <c r="D19" s="109" t="s">
        <v>99</v>
      </c>
      <c r="E19" s="109"/>
      <c r="F19" s="109"/>
      <c r="G19" s="17">
        <v>35</v>
      </c>
      <c r="H19" s="18"/>
      <c r="I19" s="18"/>
      <c r="J19" s="19"/>
      <c r="K19" s="19"/>
      <c r="L19" s="19"/>
      <c r="M19" s="18">
        <f t="shared" ref="M19:M25" si="0">SUM(G19:L19)</f>
        <v>35</v>
      </c>
      <c r="N19" s="20">
        <v>7</v>
      </c>
      <c r="O19" s="28">
        <f t="shared" ref="O19:O25" si="1">M19*N19</f>
        <v>245</v>
      </c>
      <c r="P19" s="110">
        <v>55</v>
      </c>
      <c r="Q19" s="110">
        <v>35</v>
      </c>
      <c r="R19" s="111">
        <v>26</v>
      </c>
      <c r="S19" s="39">
        <v>11.9</v>
      </c>
      <c r="T19" s="39">
        <f>S19+1.2</f>
        <v>13.1</v>
      </c>
      <c r="U19" s="39">
        <f t="shared" ref="U19:U25" si="2">S19*N19</f>
        <v>83.3</v>
      </c>
      <c r="V19" s="39">
        <f t="shared" ref="V19:V25" si="3">T19*N19</f>
        <v>91.7</v>
      </c>
      <c r="W19" s="3"/>
    </row>
    <row r="20" spans="1:23" s="4" customFormat="1" ht="18" customHeight="1">
      <c r="A20" s="25">
        <f>C19+1</f>
        <v>8</v>
      </c>
      <c r="B20" s="26" t="s">
        <v>25</v>
      </c>
      <c r="C20" s="25">
        <f>C19+N20</f>
        <v>18</v>
      </c>
      <c r="D20" s="109"/>
      <c r="E20" s="109"/>
      <c r="F20" s="109"/>
      <c r="G20" s="17"/>
      <c r="H20" s="18">
        <v>30</v>
      </c>
      <c r="I20" s="18"/>
      <c r="J20" s="19"/>
      <c r="K20" s="19"/>
      <c r="L20" s="19"/>
      <c r="M20" s="18">
        <f t="shared" si="0"/>
        <v>30</v>
      </c>
      <c r="N20" s="20">
        <v>11</v>
      </c>
      <c r="O20" s="28">
        <f t="shared" si="1"/>
        <v>330</v>
      </c>
      <c r="P20" s="110"/>
      <c r="Q20" s="110"/>
      <c r="R20" s="111"/>
      <c r="S20" s="39">
        <v>10.9</v>
      </c>
      <c r="T20" s="39">
        <f t="shared" ref="T20:T25" si="4">S20+1.2</f>
        <v>12.1</v>
      </c>
      <c r="U20" s="39">
        <f t="shared" si="2"/>
        <v>119.9</v>
      </c>
      <c r="V20" s="39">
        <f t="shared" si="3"/>
        <v>133.1</v>
      </c>
      <c r="W20" s="3"/>
    </row>
    <row r="21" spans="1:23" s="4" customFormat="1" ht="18" customHeight="1">
      <c r="A21" s="25">
        <f t="shared" ref="A21:A25" si="5">C20+1</f>
        <v>19</v>
      </c>
      <c r="B21" s="26" t="s">
        <v>25</v>
      </c>
      <c r="C21" s="25">
        <f>C20+N21</f>
        <v>29</v>
      </c>
      <c r="D21" s="109"/>
      <c r="E21" s="109"/>
      <c r="F21" s="109"/>
      <c r="G21" s="17"/>
      <c r="H21" s="18"/>
      <c r="I21" s="18">
        <v>30</v>
      </c>
      <c r="J21" s="19"/>
      <c r="K21" s="19"/>
      <c r="L21" s="19"/>
      <c r="M21" s="18">
        <f t="shared" si="0"/>
        <v>30</v>
      </c>
      <c r="N21" s="20">
        <v>11</v>
      </c>
      <c r="O21" s="28">
        <f t="shared" si="1"/>
        <v>330</v>
      </c>
      <c r="P21" s="110"/>
      <c r="Q21" s="110"/>
      <c r="R21" s="111"/>
      <c r="S21" s="39">
        <v>11.5</v>
      </c>
      <c r="T21" s="39">
        <f t="shared" si="4"/>
        <v>12.7</v>
      </c>
      <c r="U21" s="39">
        <f t="shared" si="2"/>
        <v>126.5</v>
      </c>
      <c r="V21" s="39">
        <f t="shared" si="3"/>
        <v>139.69999999999999</v>
      </c>
      <c r="W21" s="3"/>
    </row>
    <row r="22" spans="1:23" s="4" customFormat="1" ht="18" customHeight="1">
      <c r="A22" s="25">
        <f t="shared" si="5"/>
        <v>30</v>
      </c>
      <c r="B22" s="26" t="s">
        <v>25</v>
      </c>
      <c r="C22" s="25">
        <f>C21+N22</f>
        <v>40</v>
      </c>
      <c r="D22" s="109"/>
      <c r="E22" s="109"/>
      <c r="F22" s="109"/>
      <c r="G22" s="17"/>
      <c r="H22" s="18"/>
      <c r="I22" s="18"/>
      <c r="J22" s="19">
        <v>25</v>
      </c>
      <c r="K22" s="19"/>
      <c r="L22" s="19"/>
      <c r="M22" s="18">
        <f t="shared" si="0"/>
        <v>25</v>
      </c>
      <c r="N22" s="20">
        <v>11</v>
      </c>
      <c r="O22" s="28">
        <f t="shared" si="1"/>
        <v>275</v>
      </c>
      <c r="P22" s="110"/>
      <c r="Q22" s="110"/>
      <c r="R22" s="111"/>
      <c r="S22" s="39">
        <v>10.199999999999999</v>
      </c>
      <c r="T22" s="39">
        <f t="shared" si="4"/>
        <v>11.399999999999999</v>
      </c>
      <c r="U22" s="39">
        <f t="shared" si="2"/>
        <v>112.19999999999999</v>
      </c>
      <c r="V22" s="39">
        <f t="shared" si="3"/>
        <v>125.39999999999998</v>
      </c>
      <c r="W22" s="3"/>
    </row>
    <row r="23" spans="1:23" s="4" customFormat="1" ht="18" customHeight="1">
      <c r="A23" s="25">
        <f t="shared" si="5"/>
        <v>41</v>
      </c>
      <c r="B23" s="26" t="s">
        <v>25</v>
      </c>
      <c r="C23" s="25">
        <f>C22+N23</f>
        <v>48</v>
      </c>
      <c r="D23" s="109"/>
      <c r="E23" s="109"/>
      <c r="F23" s="109"/>
      <c r="G23" s="17"/>
      <c r="H23" s="18"/>
      <c r="I23" s="18"/>
      <c r="J23" s="19"/>
      <c r="K23" s="19">
        <v>25</v>
      </c>
      <c r="L23" s="19"/>
      <c r="M23" s="18">
        <f t="shared" si="0"/>
        <v>25</v>
      </c>
      <c r="N23" s="20">
        <v>8</v>
      </c>
      <c r="O23" s="28">
        <f t="shared" si="1"/>
        <v>200</v>
      </c>
      <c r="P23" s="110"/>
      <c r="Q23" s="110"/>
      <c r="R23" s="111"/>
      <c r="S23" s="39">
        <v>10.7</v>
      </c>
      <c r="T23" s="39">
        <f t="shared" si="4"/>
        <v>11.899999999999999</v>
      </c>
      <c r="U23" s="39">
        <f t="shared" si="2"/>
        <v>85.6</v>
      </c>
      <c r="V23" s="39">
        <f t="shared" si="3"/>
        <v>95.199999999999989</v>
      </c>
      <c r="W23" s="3"/>
    </row>
    <row r="24" spans="1:23" s="4" customFormat="1" ht="18" customHeight="1">
      <c r="A24" s="25">
        <f t="shared" si="5"/>
        <v>49</v>
      </c>
      <c r="B24" s="26" t="s">
        <v>25</v>
      </c>
      <c r="C24" s="25">
        <f t="shared" ref="C24:C25" si="6">C23+N24</f>
        <v>49</v>
      </c>
      <c r="D24" s="109"/>
      <c r="E24" s="109"/>
      <c r="F24" s="109"/>
      <c r="G24" s="17">
        <v>7</v>
      </c>
      <c r="H24" s="18"/>
      <c r="I24" s="18">
        <v>14</v>
      </c>
      <c r="J24" s="19"/>
      <c r="K24" s="19"/>
      <c r="L24" s="19"/>
      <c r="M24" s="18">
        <f t="shared" si="0"/>
        <v>21</v>
      </c>
      <c r="N24" s="20">
        <v>1</v>
      </c>
      <c r="O24" s="28">
        <f t="shared" si="1"/>
        <v>21</v>
      </c>
      <c r="P24" s="110"/>
      <c r="Q24" s="110"/>
      <c r="R24" s="111"/>
      <c r="S24" s="39">
        <v>8.8000000000000007</v>
      </c>
      <c r="T24" s="39">
        <f t="shared" si="4"/>
        <v>10</v>
      </c>
      <c r="U24" s="39">
        <f t="shared" si="2"/>
        <v>8.8000000000000007</v>
      </c>
      <c r="V24" s="39">
        <f t="shared" si="3"/>
        <v>10</v>
      </c>
      <c r="W24" s="3"/>
    </row>
    <row r="25" spans="1:23" s="4" customFormat="1" ht="18" customHeight="1">
      <c r="A25" s="25">
        <f t="shared" si="5"/>
        <v>50</v>
      </c>
      <c r="B25" s="26" t="s">
        <v>25</v>
      </c>
      <c r="C25" s="25">
        <f t="shared" si="6"/>
        <v>50</v>
      </c>
      <c r="D25" s="109"/>
      <c r="E25" s="109"/>
      <c r="F25" s="109"/>
      <c r="G25" s="17"/>
      <c r="H25" s="18">
        <v>7</v>
      </c>
      <c r="I25" s="18"/>
      <c r="J25" s="19">
        <v>7</v>
      </c>
      <c r="K25" s="19">
        <v>5</v>
      </c>
      <c r="L25" s="19"/>
      <c r="M25" s="18">
        <f t="shared" si="0"/>
        <v>19</v>
      </c>
      <c r="N25" s="20">
        <v>1</v>
      </c>
      <c r="O25" s="28">
        <f t="shared" si="1"/>
        <v>19</v>
      </c>
      <c r="P25" s="110"/>
      <c r="Q25" s="110"/>
      <c r="R25" s="111"/>
      <c r="S25" s="39">
        <v>7.7</v>
      </c>
      <c r="T25" s="39">
        <f t="shared" si="4"/>
        <v>8.9</v>
      </c>
      <c r="U25" s="39">
        <f t="shared" si="2"/>
        <v>7.7</v>
      </c>
      <c r="V25" s="39">
        <f t="shared" si="3"/>
        <v>8.9</v>
      </c>
      <c r="W25" s="3"/>
    </row>
    <row r="26" spans="1:23" s="23" customFormat="1" ht="21.95" customHeight="1">
      <c r="A26" s="112" t="s">
        <v>2</v>
      </c>
      <c r="B26" s="112"/>
      <c r="C26" s="112"/>
      <c r="D26" s="112"/>
      <c r="E26" s="112"/>
      <c r="F26" s="112"/>
      <c r="G26" s="52">
        <f>O19+G24</f>
        <v>252</v>
      </c>
      <c r="H26" s="53">
        <f>O20+H25</f>
        <v>337</v>
      </c>
      <c r="I26" s="53">
        <f>O21+I24</f>
        <v>344</v>
      </c>
      <c r="J26" s="53">
        <f>O22+J25</f>
        <v>282</v>
      </c>
      <c r="K26" s="53">
        <f>O23+K25</f>
        <v>205</v>
      </c>
      <c r="L26" s="53"/>
      <c r="M26" s="54"/>
      <c r="N26" s="55">
        <f>SUM(N19:N25)</f>
        <v>50</v>
      </c>
      <c r="O26" s="56">
        <f>SUM(O19:O25)</f>
        <v>1420</v>
      </c>
      <c r="P26" s="113">
        <f>(P19*Q19*R19)/1000000*N26</f>
        <v>2.5024999999999999</v>
      </c>
      <c r="Q26" s="113"/>
      <c r="R26" s="113"/>
      <c r="S26" s="57"/>
      <c r="T26" s="58"/>
      <c r="U26" s="59">
        <f>SUM(U19:U25)</f>
        <v>544</v>
      </c>
      <c r="V26" s="59">
        <f>SUM(V19:V25)</f>
        <v>603.99999999999989</v>
      </c>
    </row>
    <row r="27" spans="1:23" ht="15" customHeight="1">
      <c r="A27" s="114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6"/>
      <c r="W27" s="2"/>
    </row>
    <row r="28" spans="1:23" s="6" customFormat="1" ht="15" customHeight="1">
      <c r="A28" s="103" t="s">
        <v>5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46"/>
      <c r="N28" s="47">
        <f>N26</f>
        <v>50</v>
      </c>
      <c r="O28" s="48">
        <f>O26</f>
        <v>1420</v>
      </c>
      <c r="P28" s="117">
        <f>P26</f>
        <v>2.5024999999999999</v>
      </c>
      <c r="Q28" s="117"/>
      <c r="R28" s="117"/>
      <c r="S28" s="49"/>
      <c r="T28" s="49"/>
      <c r="U28" s="50">
        <f>U26</f>
        <v>544</v>
      </c>
      <c r="V28" s="50">
        <f>V26</f>
        <v>603.99999999999989</v>
      </c>
      <c r="W28" s="5"/>
    </row>
    <row r="29" spans="1:23" ht="15" customHeight="1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</row>
    <row r="30" spans="1:23" s="7" customFormat="1" ht="30" customHeight="1">
      <c r="A30" s="106" t="s">
        <v>10</v>
      </c>
      <c r="B30" s="106"/>
      <c r="C30" s="106"/>
      <c r="D30" s="103" t="str">
        <f>D17</f>
        <v>COLOR</v>
      </c>
      <c r="E30" s="103"/>
      <c r="F30" s="103"/>
      <c r="G30" s="51" t="str">
        <f>G18</f>
        <v>S</v>
      </c>
      <c r="H30" s="51" t="str">
        <f>H18</f>
        <v>M</v>
      </c>
      <c r="I30" s="51" t="str">
        <f>I18</f>
        <v>L</v>
      </c>
      <c r="J30" s="51" t="str">
        <f>J18</f>
        <v>XL</v>
      </c>
      <c r="K30" s="51" t="str">
        <f>K18</f>
        <v>XXL</v>
      </c>
      <c r="L30" s="51" t="str">
        <f>L18</f>
        <v>3XL</v>
      </c>
      <c r="M30" s="103" t="s">
        <v>2</v>
      </c>
      <c r="N30" s="103"/>
      <c r="O30" s="69"/>
      <c r="P30" s="69"/>
      <c r="S30" s="69"/>
      <c r="T30" s="69"/>
      <c r="U30" s="69"/>
      <c r="V30" s="69"/>
    </row>
    <row r="31" spans="1:23" s="7" customFormat="1" ht="24.95" customHeight="1">
      <c r="A31" s="119" t="s">
        <v>12</v>
      </c>
      <c r="B31" s="119"/>
      <c r="C31" s="119"/>
      <c r="D31" s="120" t="str">
        <f>D19</f>
        <v>Black</v>
      </c>
      <c r="E31" s="121"/>
      <c r="F31" s="121"/>
      <c r="G31" s="64">
        <v>250</v>
      </c>
      <c r="H31" s="64">
        <v>300</v>
      </c>
      <c r="I31" s="64">
        <v>350</v>
      </c>
      <c r="J31" s="64">
        <v>270</v>
      </c>
      <c r="K31" s="64">
        <v>180</v>
      </c>
      <c r="L31" s="64"/>
      <c r="M31" s="122">
        <f>G31+H31+I31+J31+K31+L31</f>
        <v>1350</v>
      </c>
      <c r="N31" s="122"/>
      <c r="O31" s="22"/>
      <c r="P31" s="21"/>
      <c r="S31" s="69"/>
      <c r="T31" s="69"/>
      <c r="U31" s="69"/>
      <c r="V31" s="69"/>
    </row>
    <row r="32" spans="1:23" s="7" customFormat="1" ht="24.95" customHeight="1">
      <c r="A32" s="119" t="s">
        <v>30</v>
      </c>
      <c r="B32" s="119"/>
      <c r="C32" s="119"/>
      <c r="D32" s="121"/>
      <c r="E32" s="121"/>
      <c r="F32" s="121"/>
      <c r="G32" s="64">
        <f t="shared" ref="G32:K32" si="7">G26</f>
        <v>252</v>
      </c>
      <c r="H32" s="64">
        <f t="shared" si="7"/>
        <v>337</v>
      </c>
      <c r="I32" s="64">
        <f t="shared" si="7"/>
        <v>344</v>
      </c>
      <c r="J32" s="64">
        <f t="shared" si="7"/>
        <v>282</v>
      </c>
      <c r="K32" s="64">
        <f t="shared" si="7"/>
        <v>205</v>
      </c>
      <c r="L32" s="64"/>
      <c r="M32" s="122">
        <f>G32+H32+I32+J32+K32+L32</f>
        <v>1420</v>
      </c>
      <c r="N32" s="122"/>
      <c r="O32" s="22"/>
      <c r="P32" s="21"/>
      <c r="S32" s="69"/>
      <c r="T32" s="69"/>
      <c r="U32" s="69"/>
      <c r="V32" s="69"/>
    </row>
  </sheetData>
  <mergeCells count="40">
    <mergeCell ref="A31:C31"/>
    <mergeCell ref="D31:F32"/>
    <mergeCell ref="M31:N31"/>
    <mergeCell ref="A32:C32"/>
    <mergeCell ref="M32:N32"/>
    <mergeCell ref="A27:V27"/>
    <mergeCell ref="A28:L28"/>
    <mergeCell ref="P28:R28"/>
    <mergeCell ref="A29:V29"/>
    <mergeCell ref="A30:C30"/>
    <mergeCell ref="D30:F30"/>
    <mergeCell ref="M30:N30"/>
    <mergeCell ref="D19:F25"/>
    <mergeCell ref="P19:P25"/>
    <mergeCell ref="Q19:Q25"/>
    <mergeCell ref="R19:R25"/>
    <mergeCell ref="A26:F26"/>
    <mergeCell ref="P26:R26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D36A9-8DEB-47FC-8E89-F99D1EEB9286}">
  <sheetPr>
    <tabColor rgb="FFFFC000"/>
    <pageSetUpPr fitToPage="1"/>
  </sheetPr>
  <dimension ref="A1:W33"/>
  <sheetViews>
    <sheetView showGridLines="0" view="pageBreakPreview" topLeftCell="A16" zoomScaleNormal="62" zoomScaleSheetLayoutView="100" workbookViewId="0">
      <selection activeCell="A28" sqref="A28:V28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141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142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1650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M33</f>
        <v>1683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33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N29</f>
        <v>70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143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65" t="s">
        <v>22</v>
      </c>
      <c r="J18" s="65" t="s">
        <v>93</v>
      </c>
      <c r="K18" s="65" t="s">
        <v>94</v>
      </c>
      <c r="L18" s="65" t="s">
        <v>95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3</v>
      </c>
      <c r="D19" s="109" t="s">
        <v>137</v>
      </c>
      <c r="E19" s="109"/>
      <c r="F19" s="109"/>
      <c r="G19" s="17">
        <v>30</v>
      </c>
      <c r="H19" s="18"/>
      <c r="I19" s="18"/>
      <c r="J19" s="19"/>
      <c r="K19" s="19"/>
      <c r="L19" s="19"/>
      <c r="M19" s="18">
        <f t="shared" ref="M19:M26" si="0">SUM(G19:L19)</f>
        <v>30</v>
      </c>
      <c r="N19" s="20">
        <v>3</v>
      </c>
      <c r="O19" s="28">
        <f t="shared" ref="O19:O26" si="1">M19*N19</f>
        <v>90</v>
      </c>
      <c r="P19" s="110">
        <v>55</v>
      </c>
      <c r="Q19" s="110">
        <v>32</v>
      </c>
      <c r="R19" s="111">
        <v>26</v>
      </c>
      <c r="S19" s="39">
        <v>9.5</v>
      </c>
      <c r="T19" s="39">
        <f>S19+1.1</f>
        <v>10.6</v>
      </c>
      <c r="U19" s="39">
        <f t="shared" ref="U19:U26" si="2">S19*N19</f>
        <v>28.5</v>
      </c>
      <c r="V19" s="39">
        <f t="shared" ref="V19:V26" si="3">T19*N19</f>
        <v>31.799999999999997</v>
      </c>
      <c r="W19" s="3"/>
    </row>
    <row r="20" spans="1:23" s="4" customFormat="1" ht="18" customHeight="1">
      <c r="A20" s="25">
        <f>C19+1</f>
        <v>4</v>
      </c>
      <c r="B20" s="26" t="s">
        <v>25</v>
      </c>
      <c r="C20" s="25">
        <f>C19+N20</f>
        <v>11</v>
      </c>
      <c r="D20" s="109"/>
      <c r="E20" s="109"/>
      <c r="F20" s="109"/>
      <c r="G20" s="17"/>
      <c r="H20" s="18">
        <v>30</v>
      </c>
      <c r="I20" s="18"/>
      <c r="J20" s="19"/>
      <c r="K20" s="19"/>
      <c r="L20" s="19"/>
      <c r="M20" s="18">
        <f t="shared" si="0"/>
        <v>30</v>
      </c>
      <c r="N20" s="20">
        <v>8</v>
      </c>
      <c r="O20" s="28">
        <f t="shared" si="1"/>
        <v>240</v>
      </c>
      <c r="P20" s="110"/>
      <c r="Q20" s="110"/>
      <c r="R20" s="111"/>
      <c r="S20" s="39">
        <v>10.1</v>
      </c>
      <c r="T20" s="39">
        <f t="shared" ref="T20:T26" si="4">S20+1.1</f>
        <v>11.2</v>
      </c>
      <c r="U20" s="39">
        <f t="shared" si="2"/>
        <v>80.8</v>
      </c>
      <c r="V20" s="39">
        <f t="shared" si="3"/>
        <v>89.6</v>
      </c>
      <c r="W20" s="3"/>
    </row>
    <row r="21" spans="1:23" s="4" customFormat="1" ht="18" customHeight="1">
      <c r="A21" s="25">
        <f t="shared" ref="A21:A26" si="5">C20+1</f>
        <v>12</v>
      </c>
      <c r="B21" s="26" t="s">
        <v>25</v>
      </c>
      <c r="C21" s="25">
        <f>C20+N21</f>
        <v>27</v>
      </c>
      <c r="D21" s="109"/>
      <c r="E21" s="109"/>
      <c r="F21" s="109"/>
      <c r="G21" s="17"/>
      <c r="H21" s="18"/>
      <c r="I21" s="18">
        <v>25</v>
      </c>
      <c r="J21" s="19"/>
      <c r="K21" s="19"/>
      <c r="L21" s="19"/>
      <c r="M21" s="18">
        <f t="shared" si="0"/>
        <v>25</v>
      </c>
      <c r="N21" s="20">
        <v>16</v>
      </c>
      <c r="O21" s="28">
        <f t="shared" si="1"/>
        <v>400</v>
      </c>
      <c r="P21" s="110"/>
      <c r="Q21" s="110"/>
      <c r="R21" s="111"/>
      <c r="S21" s="39">
        <v>9</v>
      </c>
      <c r="T21" s="39">
        <f t="shared" si="4"/>
        <v>10.1</v>
      </c>
      <c r="U21" s="39">
        <f t="shared" si="2"/>
        <v>144</v>
      </c>
      <c r="V21" s="39">
        <f t="shared" si="3"/>
        <v>161.6</v>
      </c>
      <c r="W21" s="3"/>
    </row>
    <row r="22" spans="1:23" s="4" customFormat="1" ht="18" customHeight="1">
      <c r="A22" s="25">
        <f t="shared" si="5"/>
        <v>28</v>
      </c>
      <c r="B22" s="26" t="s">
        <v>25</v>
      </c>
      <c r="C22" s="25">
        <f>C21+N22</f>
        <v>43</v>
      </c>
      <c r="D22" s="109"/>
      <c r="E22" s="109"/>
      <c r="F22" s="109"/>
      <c r="G22" s="17"/>
      <c r="H22" s="18"/>
      <c r="I22" s="18"/>
      <c r="J22" s="19">
        <v>25</v>
      </c>
      <c r="K22" s="19"/>
      <c r="L22" s="19"/>
      <c r="M22" s="18">
        <f t="shared" si="0"/>
        <v>25</v>
      </c>
      <c r="N22" s="20">
        <v>16</v>
      </c>
      <c r="O22" s="28">
        <f t="shared" si="1"/>
        <v>400</v>
      </c>
      <c r="P22" s="110"/>
      <c r="Q22" s="110"/>
      <c r="R22" s="111"/>
      <c r="S22" s="39">
        <v>9.4</v>
      </c>
      <c r="T22" s="39">
        <f t="shared" si="4"/>
        <v>10.5</v>
      </c>
      <c r="U22" s="39">
        <f t="shared" si="2"/>
        <v>150.4</v>
      </c>
      <c r="V22" s="39">
        <f t="shared" si="3"/>
        <v>168</v>
      </c>
      <c r="W22" s="3"/>
    </row>
    <row r="23" spans="1:23" s="4" customFormat="1" ht="18" customHeight="1">
      <c r="A23" s="25">
        <f t="shared" si="5"/>
        <v>44</v>
      </c>
      <c r="B23" s="26" t="s">
        <v>25</v>
      </c>
      <c r="C23" s="25">
        <f>C22+N23</f>
        <v>58</v>
      </c>
      <c r="D23" s="109"/>
      <c r="E23" s="109"/>
      <c r="F23" s="109"/>
      <c r="G23" s="17"/>
      <c r="H23" s="18"/>
      <c r="I23" s="18"/>
      <c r="J23" s="19"/>
      <c r="K23" s="19">
        <v>20</v>
      </c>
      <c r="L23" s="19"/>
      <c r="M23" s="18">
        <f t="shared" si="0"/>
        <v>20</v>
      </c>
      <c r="N23" s="20">
        <v>15</v>
      </c>
      <c r="O23" s="28">
        <f t="shared" si="1"/>
        <v>300</v>
      </c>
      <c r="P23" s="110"/>
      <c r="Q23" s="110"/>
      <c r="R23" s="111"/>
      <c r="S23" s="39">
        <v>8.1</v>
      </c>
      <c r="T23" s="39">
        <f t="shared" si="4"/>
        <v>9.1999999999999993</v>
      </c>
      <c r="U23" s="39">
        <f t="shared" si="2"/>
        <v>121.5</v>
      </c>
      <c r="V23" s="39">
        <f t="shared" si="3"/>
        <v>138</v>
      </c>
      <c r="W23" s="3"/>
    </row>
    <row r="24" spans="1:23" s="4" customFormat="1" ht="18" customHeight="1">
      <c r="A24" s="25">
        <f t="shared" si="5"/>
        <v>59</v>
      </c>
      <c r="B24" s="26" t="s">
        <v>25</v>
      </c>
      <c r="C24" s="25">
        <f t="shared" ref="C24:C26" si="6">C23+N24</f>
        <v>68</v>
      </c>
      <c r="D24" s="109"/>
      <c r="E24" s="109"/>
      <c r="F24" s="109"/>
      <c r="G24" s="17"/>
      <c r="H24" s="18"/>
      <c r="I24" s="18"/>
      <c r="J24" s="19"/>
      <c r="K24" s="19"/>
      <c r="L24" s="19">
        <v>20</v>
      </c>
      <c r="M24" s="18">
        <f t="shared" si="0"/>
        <v>20</v>
      </c>
      <c r="N24" s="20">
        <v>10</v>
      </c>
      <c r="O24" s="28">
        <f t="shared" si="1"/>
        <v>200</v>
      </c>
      <c r="P24" s="110"/>
      <c r="Q24" s="110"/>
      <c r="R24" s="111"/>
      <c r="S24" s="39">
        <v>8.6</v>
      </c>
      <c r="T24" s="39">
        <f t="shared" si="4"/>
        <v>9.6999999999999993</v>
      </c>
      <c r="U24" s="39">
        <f t="shared" si="2"/>
        <v>86</v>
      </c>
      <c r="V24" s="39">
        <f t="shared" si="3"/>
        <v>97</v>
      </c>
      <c r="W24" s="3"/>
    </row>
    <row r="25" spans="1:23" s="4" customFormat="1" ht="18" customHeight="1">
      <c r="A25" s="25">
        <f t="shared" si="5"/>
        <v>69</v>
      </c>
      <c r="B25" s="26" t="s">
        <v>25</v>
      </c>
      <c r="C25" s="25">
        <f t="shared" si="6"/>
        <v>69</v>
      </c>
      <c r="D25" s="109"/>
      <c r="E25" s="109"/>
      <c r="F25" s="109"/>
      <c r="G25" s="17">
        <v>14</v>
      </c>
      <c r="H25" s="18">
        <v>11</v>
      </c>
      <c r="I25" s="18"/>
      <c r="J25" s="19"/>
      <c r="K25" s="19"/>
      <c r="L25" s="19">
        <v>3</v>
      </c>
      <c r="M25" s="18">
        <f t="shared" si="0"/>
        <v>28</v>
      </c>
      <c r="N25" s="20">
        <v>1</v>
      </c>
      <c r="O25" s="28">
        <f t="shared" si="1"/>
        <v>28</v>
      </c>
      <c r="P25" s="110"/>
      <c r="Q25" s="110"/>
      <c r="R25" s="111"/>
      <c r="S25" s="39">
        <v>9.5</v>
      </c>
      <c r="T25" s="39">
        <f t="shared" si="4"/>
        <v>10.6</v>
      </c>
      <c r="U25" s="39">
        <f t="shared" si="2"/>
        <v>9.5</v>
      </c>
      <c r="V25" s="39">
        <f t="shared" si="3"/>
        <v>10.6</v>
      </c>
      <c r="W25" s="3"/>
    </row>
    <row r="26" spans="1:23" s="4" customFormat="1" ht="18" customHeight="1">
      <c r="A26" s="25">
        <f t="shared" si="5"/>
        <v>70</v>
      </c>
      <c r="B26" s="26" t="s">
        <v>25</v>
      </c>
      <c r="C26" s="25">
        <f t="shared" si="6"/>
        <v>70</v>
      </c>
      <c r="D26" s="109"/>
      <c r="E26" s="109"/>
      <c r="F26" s="109"/>
      <c r="G26" s="17"/>
      <c r="H26" s="18"/>
      <c r="I26" s="18">
        <v>4</v>
      </c>
      <c r="J26" s="19">
        <v>13</v>
      </c>
      <c r="K26" s="19">
        <v>8</v>
      </c>
      <c r="L26" s="19"/>
      <c r="M26" s="18">
        <f t="shared" si="0"/>
        <v>25</v>
      </c>
      <c r="N26" s="20">
        <v>1</v>
      </c>
      <c r="O26" s="28">
        <f t="shared" si="1"/>
        <v>25</v>
      </c>
      <c r="P26" s="110"/>
      <c r="Q26" s="110"/>
      <c r="R26" s="111"/>
      <c r="S26" s="39">
        <v>9</v>
      </c>
      <c r="T26" s="39">
        <f t="shared" si="4"/>
        <v>10.1</v>
      </c>
      <c r="U26" s="39">
        <f t="shared" si="2"/>
        <v>9</v>
      </c>
      <c r="V26" s="39">
        <f t="shared" si="3"/>
        <v>10.1</v>
      </c>
      <c r="W26" s="3"/>
    </row>
    <row r="27" spans="1:23" s="23" customFormat="1" ht="21.95" customHeight="1">
      <c r="A27" s="112" t="s">
        <v>2</v>
      </c>
      <c r="B27" s="112"/>
      <c r="C27" s="112"/>
      <c r="D27" s="112"/>
      <c r="E27" s="112"/>
      <c r="F27" s="112"/>
      <c r="G27" s="52">
        <f>O19+G25</f>
        <v>104</v>
      </c>
      <c r="H27" s="53">
        <f>O20+H25</f>
        <v>251</v>
      </c>
      <c r="I27" s="53">
        <f>O21+I26</f>
        <v>404</v>
      </c>
      <c r="J27" s="53">
        <f>O22+J26</f>
        <v>413</v>
      </c>
      <c r="K27" s="53">
        <f>O23+K26</f>
        <v>308</v>
      </c>
      <c r="L27" s="53">
        <f>O24+L25</f>
        <v>203</v>
      </c>
      <c r="M27" s="54"/>
      <c r="N27" s="55">
        <f>SUM(N19:N26)</f>
        <v>70</v>
      </c>
      <c r="O27" s="56">
        <f>SUM(O19:O26)</f>
        <v>1683</v>
      </c>
      <c r="P27" s="113">
        <f>(P19*Q19*R19)/1000000*N27</f>
        <v>3.2032000000000003</v>
      </c>
      <c r="Q27" s="113"/>
      <c r="R27" s="113"/>
      <c r="S27" s="57"/>
      <c r="T27" s="58"/>
      <c r="U27" s="59">
        <f>SUM(U19:U26)</f>
        <v>629.70000000000005</v>
      </c>
      <c r="V27" s="59">
        <f>SUM(V19:V26)</f>
        <v>706.7</v>
      </c>
    </row>
    <row r="28" spans="1:23" ht="15" customHeight="1">
      <c r="A28" s="114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6"/>
      <c r="W28" s="2"/>
    </row>
    <row r="29" spans="1:23" s="6" customFormat="1" ht="15" customHeight="1">
      <c r="A29" s="103" t="s">
        <v>5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46"/>
      <c r="N29" s="47">
        <f>N27</f>
        <v>70</v>
      </c>
      <c r="O29" s="48">
        <f>O27</f>
        <v>1683</v>
      </c>
      <c r="P29" s="117">
        <f>P27</f>
        <v>3.2032000000000003</v>
      </c>
      <c r="Q29" s="117"/>
      <c r="R29" s="117"/>
      <c r="S29" s="49"/>
      <c r="T29" s="49"/>
      <c r="U29" s="50">
        <f>U27</f>
        <v>629.70000000000005</v>
      </c>
      <c r="V29" s="50">
        <f>V27</f>
        <v>706.7</v>
      </c>
      <c r="W29" s="5"/>
    </row>
    <row r="30" spans="1:23" ht="15" customHeight="1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</row>
    <row r="31" spans="1:23" s="7" customFormat="1" ht="30" customHeight="1">
      <c r="A31" s="106" t="s">
        <v>10</v>
      </c>
      <c r="B31" s="106"/>
      <c r="C31" s="106"/>
      <c r="D31" s="103" t="str">
        <f>D17</f>
        <v>COLOR</v>
      </c>
      <c r="E31" s="103"/>
      <c r="F31" s="103"/>
      <c r="G31" s="51" t="str">
        <f t="shared" ref="G31:L31" si="7">G18</f>
        <v>S</v>
      </c>
      <c r="H31" s="51" t="str">
        <f t="shared" si="7"/>
        <v>M</v>
      </c>
      <c r="I31" s="51" t="str">
        <f t="shared" si="7"/>
        <v>L</v>
      </c>
      <c r="J31" s="51" t="str">
        <f t="shared" si="7"/>
        <v>XL</v>
      </c>
      <c r="K31" s="51" t="str">
        <f t="shared" si="7"/>
        <v>XXL</v>
      </c>
      <c r="L31" s="51" t="str">
        <f t="shared" si="7"/>
        <v>3XL</v>
      </c>
      <c r="M31" s="103" t="s">
        <v>2</v>
      </c>
      <c r="N31" s="103"/>
      <c r="O31" s="69"/>
      <c r="P31" s="69"/>
      <c r="S31" s="69"/>
      <c r="T31" s="69"/>
      <c r="U31" s="69"/>
      <c r="V31" s="69"/>
    </row>
    <row r="32" spans="1:23" s="7" customFormat="1" ht="24.95" customHeight="1">
      <c r="A32" s="119" t="s">
        <v>12</v>
      </c>
      <c r="B32" s="119"/>
      <c r="C32" s="119"/>
      <c r="D32" s="120" t="str">
        <f>D19</f>
        <v>Navy</v>
      </c>
      <c r="E32" s="121"/>
      <c r="F32" s="121"/>
      <c r="G32" s="64">
        <v>100</v>
      </c>
      <c r="H32" s="64">
        <v>250</v>
      </c>
      <c r="I32" s="64">
        <v>400</v>
      </c>
      <c r="J32" s="64">
        <v>400</v>
      </c>
      <c r="K32" s="64">
        <v>300</v>
      </c>
      <c r="L32" s="64">
        <v>200</v>
      </c>
      <c r="M32" s="122">
        <f>G32+H32+I32+J32+K32+L32</f>
        <v>1650</v>
      </c>
      <c r="N32" s="122"/>
      <c r="O32" s="22"/>
      <c r="P32" s="21"/>
      <c r="S32" s="69"/>
      <c r="T32" s="69"/>
      <c r="U32" s="69"/>
      <c r="V32" s="69"/>
    </row>
    <row r="33" spans="1:22" s="7" customFormat="1" ht="24.95" customHeight="1">
      <c r="A33" s="119" t="s">
        <v>30</v>
      </c>
      <c r="B33" s="119"/>
      <c r="C33" s="119"/>
      <c r="D33" s="121"/>
      <c r="E33" s="121"/>
      <c r="F33" s="121"/>
      <c r="G33" s="64">
        <f t="shared" ref="G33:K33" si="8">G27</f>
        <v>104</v>
      </c>
      <c r="H33" s="64">
        <f t="shared" si="8"/>
        <v>251</v>
      </c>
      <c r="I33" s="64">
        <f t="shared" si="8"/>
        <v>404</v>
      </c>
      <c r="J33" s="64">
        <f t="shared" si="8"/>
        <v>413</v>
      </c>
      <c r="K33" s="64">
        <f t="shared" si="8"/>
        <v>308</v>
      </c>
      <c r="L33" s="64">
        <f>L27</f>
        <v>203</v>
      </c>
      <c r="M33" s="122">
        <f>G33+H33+I33+J33+K33+L33</f>
        <v>1683</v>
      </c>
      <c r="N33" s="122"/>
      <c r="O33" s="22"/>
      <c r="P33" s="21"/>
      <c r="S33" s="69"/>
      <c r="T33" s="69"/>
      <c r="U33" s="69"/>
      <c r="V33" s="69"/>
    </row>
  </sheetData>
  <mergeCells count="40">
    <mergeCell ref="A32:C32"/>
    <mergeCell ref="D32:F33"/>
    <mergeCell ref="M32:N32"/>
    <mergeCell ref="A33:C33"/>
    <mergeCell ref="M33:N33"/>
    <mergeCell ref="A28:V28"/>
    <mergeCell ref="A29:L29"/>
    <mergeCell ref="P29:R29"/>
    <mergeCell ref="A30:V30"/>
    <mergeCell ref="A31:C31"/>
    <mergeCell ref="D31:F31"/>
    <mergeCell ref="M31:N31"/>
    <mergeCell ref="D19:F26"/>
    <mergeCell ref="P19:P26"/>
    <mergeCell ref="Q19:Q26"/>
    <mergeCell ref="R19:R26"/>
    <mergeCell ref="A27:F27"/>
    <mergeCell ref="P27:R27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51926-C367-491F-9677-5394ED36C8E0}">
  <sheetPr>
    <tabColor rgb="FFFFC000"/>
    <pageSetUpPr fitToPage="1"/>
  </sheetPr>
  <dimension ref="A1:W34"/>
  <sheetViews>
    <sheetView showGridLines="0" view="pageBreakPreview" topLeftCell="A18" zoomScaleNormal="62" zoomScaleSheetLayoutView="100" workbookViewId="0">
      <selection activeCell="S28" sqref="S28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144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145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1430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M34</f>
        <v>1470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40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N30</f>
        <v>29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89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65" t="s">
        <v>22</v>
      </c>
      <c r="J18" s="65" t="s">
        <v>93</v>
      </c>
      <c r="K18" s="65" t="s">
        <v>94</v>
      </c>
      <c r="L18" s="65" t="s">
        <v>95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3</v>
      </c>
      <c r="D19" s="109" t="s">
        <v>146</v>
      </c>
      <c r="E19" s="109"/>
      <c r="F19" s="109"/>
      <c r="G19" s="17">
        <v>60</v>
      </c>
      <c r="H19" s="18"/>
      <c r="I19" s="18"/>
      <c r="J19" s="19"/>
      <c r="K19" s="19"/>
      <c r="L19" s="19"/>
      <c r="M19" s="18">
        <f t="shared" ref="M19:M27" si="0">SUM(G19:L19)</f>
        <v>60</v>
      </c>
      <c r="N19" s="20">
        <v>3</v>
      </c>
      <c r="O19" s="28">
        <f t="shared" ref="O19:O27" si="1">M19*N19</f>
        <v>180</v>
      </c>
      <c r="P19" s="110">
        <v>55</v>
      </c>
      <c r="Q19" s="110">
        <v>35</v>
      </c>
      <c r="R19" s="111">
        <v>26</v>
      </c>
      <c r="S19" s="39">
        <v>10.9</v>
      </c>
      <c r="T19" s="39">
        <f>S19+1.2</f>
        <v>12.1</v>
      </c>
      <c r="U19" s="39">
        <f t="shared" ref="U19:U27" si="2">S19*N19</f>
        <v>32.700000000000003</v>
      </c>
      <c r="V19" s="39">
        <f t="shared" ref="V19:V27" si="3">T19*N19</f>
        <v>36.299999999999997</v>
      </c>
      <c r="W19" s="3"/>
    </row>
    <row r="20" spans="1:23" s="4" customFormat="1" ht="18" customHeight="1">
      <c r="A20" s="25">
        <f>C19+1</f>
        <v>4</v>
      </c>
      <c r="B20" s="26" t="s">
        <v>25</v>
      </c>
      <c r="C20" s="25">
        <f>C19+N20</f>
        <v>8</v>
      </c>
      <c r="D20" s="109"/>
      <c r="E20" s="109"/>
      <c r="F20" s="109"/>
      <c r="G20" s="17"/>
      <c r="H20" s="18">
        <v>60</v>
      </c>
      <c r="I20" s="18"/>
      <c r="J20" s="19"/>
      <c r="K20" s="19"/>
      <c r="L20" s="19"/>
      <c r="M20" s="18">
        <f t="shared" si="0"/>
        <v>60</v>
      </c>
      <c r="N20" s="20">
        <v>5</v>
      </c>
      <c r="O20" s="28">
        <f t="shared" si="1"/>
        <v>300</v>
      </c>
      <c r="P20" s="110"/>
      <c r="Q20" s="110"/>
      <c r="R20" s="111"/>
      <c r="S20" s="39">
        <v>11.8</v>
      </c>
      <c r="T20" s="39">
        <f t="shared" ref="T20:T27" si="4">S20+1.2</f>
        <v>13</v>
      </c>
      <c r="U20" s="39">
        <f t="shared" si="2"/>
        <v>59</v>
      </c>
      <c r="V20" s="39">
        <f t="shared" si="3"/>
        <v>65</v>
      </c>
      <c r="W20" s="3"/>
    </row>
    <row r="21" spans="1:23" s="4" customFormat="1" ht="18" customHeight="1">
      <c r="A21" s="25">
        <f t="shared" ref="A21:A27" si="5">C20+1</f>
        <v>9</v>
      </c>
      <c r="B21" s="26" t="s">
        <v>25</v>
      </c>
      <c r="C21" s="25">
        <f>C20+N21</f>
        <v>14</v>
      </c>
      <c r="D21" s="109"/>
      <c r="E21" s="109"/>
      <c r="F21" s="109"/>
      <c r="G21" s="17"/>
      <c r="H21" s="18"/>
      <c r="I21" s="18">
        <v>50</v>
      </c>
      <c r="J21" s="19"/>
      <c r="K21" s="19"/>
      <c r="L21" s="19"/>
      <c r="M21" s="18">
        <f t="shared" si="0"/>
        <v>50</v>
      </c>
      <c r="N21" s="20">
        <v>6</v>
      </c>
      <c r="O21" s="28">
        <f t="shared" si="1"/>
        <v>300</v>
      </c>
      <c r="P21" s="110"/>
      <c r="Q21" s="110"/>
      <c r="R21" s="111"/>
      <c r="S21" s="39">
        <v>9.8000000000000007</v>
      </c>
      <c r="T21" s="39">
        <f t="shared" si="4"/>
        <v>11</v>
      </c>
      <c r="U21" s="39">
        <f t="shared" si="2"/>
        <v>58.800000000000004</v>
      </c>
      <c r="V21" s="39">
        <f t="shared" si="3"/>
        <v>66</v>
      </c>
      <c r="W21" s="3"/>
    </row>
    <row r="22" spans="1:23" s="4" customFormat="1" ht="18" customHeight="1">
      <c r="A22" s="25">
        <f t="shared" si="5"/>
        <v>15</v>
      </c>
      <c r="B22" s="26" t="s">
        <v>25</v>
      </c>
      <c r="C22" s="25">
        <f>C21+N22</f>
        <v>19</v>
      </c>
      <c r="D22" s="109"/>
      <c r="E22" s="109"/>
      <c r="F22" s="109"/>
      <c r="G22" s="17"/>
      <c r="H22" s="18"/>
      <c r="I22" s="18"/>
      <c r="J22" s="19">
        <v>50</v>
      </c>
      <c r="K22" s="19"/>
      <c r="L22" s="19"/>
      <c r="M22" s="18">
        <f t="shared" si="0"/>
        <v>50</v>
      </c>
      <c r="N22" s="20">
        <v>5</v>
      </c>
      <c r="O22" s="28">
        <f t="shared" si="1"/>
        <v>250</v>
      </c>
      <c r="P22" s="110"/>
      <c r="Q22" s="110"/>
      <c r="R22" s="111"/>
      <c r="S22" s="39">
        <v>10.8</v>
      </c>
      <c r="T22" s="39">
        <f t="shared" si="4"/>
        <v>12</v>
      </c>
      <c r="U22" s="39">
        <f t="shared" si="2"/>
        <v>54</v>
      </c>
      <c r="V22" s="39">
        <f t="shared" si="3"/>
        <v>60</v>
      </c>
      <c r="W22" s="3"/>
    </row>
    <row r="23" spans="1:23" s="4" customFormat="1" ht="18" customHeight="1">
      <c r="A23" s="25">
        <f t="shared" si="5"/>
        <v>20</v>
      </c>
      <c r="B23" s="26" t="s">
        <v>25</v>
      </c>
      <c r="C23" s="25">
        <f>C22+N23</f>
        <v>23</v>
      </c>
      <c r="D23" s="109"/>
      <c r="E23" s="109"/>
      <c r="F23" s="109"/>
      <c r="G23" s="17"/>
      <c r="H23" s="18"/>
      <c r="I23" s="18"/>
      <c r="J23" s="19"/>
      <c r="K23" s="19">
        <v>45</v>
      </c>
      <c r="L23" s="19"/>
      <c r="M23" s="18">
        <f t="shared" si="0"/>
        <v>45</v>
      </c>
      <c r="N23" s="20">
        <v>4</v>
      </c>
      <c r="O23" s="28">
        <f t="shared" si="1"/>
        <v>180</v>
      </c>
      <c r="P23" s="110"/>
      <c r="Q23" s="110"/>
      <c r="R23" s="111"/>
      <c r="S23" s="39">
        <v>10.7</v>
      </c>
      <c r="T23" s="39">
        <f t="shared" si="4"/>
        <v>11.899999999999999</v>
      </c>
      <c r="U23" s="39">
        <f t="shared" si="2"/>
        <v>42.8</v>
      </c>
      <c r="V23" s="39">
        <f t="shared" si="3"/>
        <v>47.599999999999994</v>
      </c>
      <c r="W23" s="3"/>
    </row>
    <row r="24" spans="1:23" s="4" customFormat="1" ht="18" customHeight="1">
      <c r="A24" s="25">
        <f t="shared" si="5"/>
        <v>24</v>
      </c>
      <c r="B24" s="26" t="s">
        <v>25</v>
      </c>
      <c r="C24" s="25">
        <f t="shared" ref="C24:C27" si="6">C23+N24</f>
        <v>26</v>
      </c>
      <c r="D24" s="109"/>
      <c r="E24" s="109"/>
      <c r="F24" s="109"/>
      <c r="G24" s="17"/>
      <c r="H24" s="18"/>
      <c r="I24" s="18"/>
      <c r="J24" s="19"/>
      <c r="K24" s="19"/>
      <c r="L24" s="19">
        <v>45</v>
      </c>
      <c r="M24" s="18">
        <f t="shared" si="0"/>
        <v>45</v>
      </c>
      <c r="N24" s="20">
        <v>3</v>
      </c>
      <c r="O24" s="28">
        <f t="shared" si="1"/>
        <v>135</v>
      </c>
      <c r="P24" s="110"/>
      <c r="Q24" s="110"/>
      <c r="R24" s="111"/>
      <c r="S24" s="39">
        <v>11.5</v>
      </c>
      <c r="T24" s="39">
        <f t="shared" si="4"/>
        <v>12.7</v>
      </c>
      <c r="U24" s="39">
        <f t="shared" si="2"/>
        <v>34.5</v>
      </c>
      <c r="V24" s="39">
        <f t="shared" si="3"/>
        <v>38.099999999999994</v>
      </c>
      <c r="W24" s="3"/>
    </row>
    <row r="25" spans="1:23" s="4" customFormat="1" ht="18" customHeight="1">
      <c r="A25" s="25">
        <f t="shared" si="5"/>
        <v>27</v>
      </c>
      <c r="B25" s="26" t="s">
        <v>25</v>
      </c>
      <c r="C25" s="25">
        <f t="shared" si="6"/>
        <v>27</v>
      </c>
      <c r="D25" s="109"/>
      <c r="E25" s="109"/>
      <c r="F25" s="109"/>
      <c r="G25" s="17">
        <v>42</v>
      </c>
      <c r="H25" s="18"/>
      <c r="I25" s="18"/>
      <c r="J25" s="19">
        <v>14</v>
      </c>
      <c r="K25" s="19"/>
      <c r="L25" s="19"/>
      <c r="M25" s="18">
        <f t="shared" si="0"/>
        <v>56</v>
      </c>
      <c r="N25" s="20">
        <v>1</v>
      </c>
      <c r="O25" s="28">
        <f t="shared" si="1"/>
        <v>56</v>
      </c>
      <c r="P25" s="110"/>
      <c r="Q25" s="110"/>
      <c r="R25" s="111"/>
      <c r="S25" s="39">
        <v>10.8</v>
      </c>
      <c r="T25" s="39">
        <f t="shared" si="4"/>
        <v>12</v>
      </c>
      <c r="U25" s="39">
        <f t="shared" si="2"/>
        <v>10.8</v>
      </c>
      <c r="V25" s="39">
        <f t="shared" si="3"/>
        <v>12</v>
      </c>
      <c r="W25" s="3"/>
    </row>
    <row r="26" spans="1:23" s="4" customFormat="1" ht="18" customHeight="1">
      <c r="A26" s="25">
        <f t="shared" si="5"/>
        <v>28</v>
      </c>
      <c r="B26" s="26" t="s">
        <v>25</v>
      </c>
      <c r="C26" s="25">
        <f t="shared" si="6"/>
        <v>28</v>
      </c>
      <c r="D26" s="109"/>
      <c r="E26" s="109"/>
      <c r="F26" s="109"/>
      <c r="G26" s="17"/>
      <c r="H26" s="18">
        <v>11</v>
      </c>
      <c r="I26" s="18">
        <v>9</v>
      </c>
      <c r="J26" s="19"/>
      <c r="K26" s="19"/>
      <c r="L26" s="19">
        <v>19</v>
      </c>
      <c r="M26" s="18">
        <f t="shared" si="0"/>
        <v>39</v>
      </c>
      <c r="N26" s="20">
        <v>1</v>
      </c>
      <c r="O26" s="28">
        <f t="shared" si="1"/>
        <v>39</v>
      </c>
      <c r="P26" s="110"/>
      <c r="Q26" s="110"/>
      <c r="R26" s="111"/>
      <c r="S26" s="39">
        <v>10.9</v>
      </c>
      <c r="T26" s="39">
        <f t="shared" si="4"/>
        <v>12.1</v>
      </c>
      <c r="U26" s="39">
        <f t="shared" si="2"/>
        <v>10.9</v>
      </c>
      <c r="V26" s="39">
        <f t="shared" si="3"/>
        <v>12.1</v>
      </c>
      <c r="W26" s="3"/>
    </row>
    <row r="27" spans="1:23" s="4" customFormat="1" ht="18" customHeight="1">
      <c r="A27" s="25">
        <f t="shared" si="5"/>
        <v>29</v>
      </c>
      <c r="B27" s="26" t="s">
        <v>25</v>
      </c>
      <c r="C27" s="25">
        <f t="shared" si="6"/>
        <v>29</v>
      </c>
      <c r="D27" s="109"/>
      <c r="E27" s="109"/>
      <c r="F27" s="109"/>
      <c r="G27" s="17"/>
      <c r="H27" s="18"/>
      <c r="I27" s="18"/>
      <c r="J27" s="19"/>
      <c r="K27" s="19">
        <v>30</v>
      </c>
      <c r="L27" s="19"/>
      <c r="M27" s="18">
        <f t="shared" si="0"/>
        <v>30</v>
      </c>
      <c r="N27" s="20">
        <v>1</v>
      </c>
      <c r="O27" s="28">
        <f t="shared" si="1"/>
        <v>30</v>
      </c>
      <c r="P27" s="110"/>
      <c r="Q27" s="110"/>
      <c r="R27" s="111"/>
      <c r="S27" s="39">
        <v>10.8</v>
      </c>
      <c r="T27" s="39">
        <f t="shared" si="4"/>
        <v>12</v>
      </c>
      <c r="U27" s="39">
        <f t="shared" si="2"/>
        <v>10.8</v>
      </c>
      <c r="V27" s="39">
        <f t="shared" si="3"/>
        <v>12</v>
      </c>
      <c r="W27" s="3"/>
    </row>
    <row r="28" spans="1:23" s="23" customFormat="1" ht="21.95" customHeight="1">
      <c r="A28" s="112" t="s">
        <v>2</v>
      </c>
      <c r="B28" s="112"/>
      <c r="C28" s="112"/>
      <c r="D28" s="112"/>
      <c r="E28" s="112"/>
      <c r="F28" s="112"/>
      <c r="G28" s="52">
        <f>O19+G25</f>
        <v>222</v>
      </c>
      <c r="H28" s="53">
        <f>O20+H26</f>
        <v>311</v>
      </c>
      <c r="I28" s="53">
        <f>O21+I26</f>
        <v>309</v>
      </c>
      <c r="J28" s="53">
        <f>O22+J25</f>
        <v>264</v>
      </c>
      <c r="K28" s="53">
        <f>O23+K27</f>
        <v>210</v>
      </c>
      <c r="L28" s="53">
        <f>O24+L26</f>
        <v>154</v>
      </c>
      <c r="M28" s="54"/>
      <c r="N28" s="55">
        <f>SUM(N19:N27)</f>
        <v>29</v>
      </c>
      <c r="O28" s="56">
        <f>SUM(O19:O27)</f>
        <v>1470</v>
      </c>
      <c r="P28" s="113">
        <f>(P19*Q19*R19)/1000000*N28</f>
        <v>1.4514499999999999</v>
      </c>
      <c r="Q28" s="113"/>
      <c r="R28" s="113"/>
      <c r="S28" s="57"/>
      <c r="T28" s="58"/>
      <c r="U28" s="59">
        <f>SUM(U19:U27)</f>
        <v>314.3</v>
      </c>
      <c r="V28" s="59">
        <f>SUM(V19:V27)</f>
        <v>349.1</v>
      </c>
    </row>
    <row r="29" spans="1:23" ht="15" customHeight="1">
      <c r="A29" s="114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6"/>
      <c r="W29" s="2"/>
    </row>
    <row r="30" spans="1:23" s="6" customFormat="1" ht="15" customHeight="1">
      <c r="A30" s="103" t="s">
        <v>5</v>
      </c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46"/>
      <c r="N30" s="47">
        <f>N28</f>
        <v>29</v>
      </c>
      <c r="O30" s="48">
        <f>O28</f>
        <v>1470</v>
      </c>
      <c r="P30" s="117">
        <f>P28</f>
        <v>1.4514499999999999</v>
      </c>
      <c r="Q30" s="117"/>
      <c r="R30" s="117"/>
      <c r="S30" s="49"/>
      <c r="T30" s="49"/>
      <c r="U30" s="50">
        <f>U28</f>
        <v>314.3</v>
      </c>
      <c r="V30" s="50">
        <f>V28</f>
        <v>349.1</v>
      </c>
      <c r="W30" s="5"/>
    </row>
    <row r="31" spans="1:23" ht="15" customHeight="1">
      <c r="A31" s="118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</row>
    <row r="32" spans="1:23" s="7" customFormat="1" ht="30" customHeight="1">
      <c r="A32" s="106" t="s">
        <v>10</v>
      </c>
      <c r="B32" s="106"/>
      <c r="C32" s="106"/>
      <c r="D32" s="103" t="str">
        <f>D17</f>
        <v>COLOR</v>
      </c>
      <c r="E32" s="103"/>
      <c r="F32" s="103"/>
      <c r="G32" s="51" t="str">
        <f t="shared" ref="G32:L32" si="7">G18</f>
        <v>S</v>
      </c>
      <c r="H32" s="51" t="str">
        <f t="shared" si="7"/>
        <v>M</v>
      </c>
      <c r="I32" s="51" t="str">
        <f t="shared" si="7"/>
        <v>L</v>
      </c>
      <c r="J32" s="51" t="str">
        <f t="shared" si="7"/>
        <v>XL</v>
      </c>
      <c r="K32" s="51" t="str">
        <f t="shared" si="7"/>
        <v>XXL</v>
      </c>
      <c r="L32" s="51" t="str">
        <f t="shared" si="7"/>
        <v>3XL</v>
      </c>
      <c r="M32" s="103" t="s">
        <v>2</v>
      </c>
      <c r="N32" s="103"/>
      <c r="O32" s="69"/>
      <c r="P32" s="69"/>
      <c r="S32" s="69"/>
      <c r="T32" s="69"/>
      <c r="U32" s="69"/>
      <c r="V32" s="69"/>
    </row>
    <row r="33" spans="1:22" s="7" customFormat="1" ht="24.95" customHeight="1">
      <c r="A33" s="119" t="s">
        <v>12</v>
      </c>
      <c r="B33" s="119"/>
      <c r="C33" s="119"/>
      <c r="D33" s="120" t="str">
        <f>D19</f>
        <v>Sage</v>
      </c>
      <c r="E33" s="121"/>
      <c r="F33" s="121"/>
      <c r="G33" s="64">
        <v>220</v>
      </c>
      <c r="H33" s="64">
        <v>300</v>
      </c>
      <c r="I33" s="64">
        <v>300</v>
      </c>
      <c r="J33" s="64">
        <v>260</v>
      </c>
      <c r="K33" s="64">
        <v>200</v>
      </c>
      <c r="L33" s="64">
        <v>150</v>
      </c>
      <c r="M33" s="122">
        <f>G33+H33+I33+J33+K33+L33</f>
        <v>1430</v>
      </c>
      <c r="N33" s="122"/>
      <c r="O33" s="22"/>
      <c r="P33" s="21"/>
      <c r="S33" s="69"/>
      <c r="T33" s="69"/>
      <c r="U33" s="69"/>
      <c r="V33" s="69"/>
    </row>
    <row r="34" spans="1:22" s="7" customFormat="1" ht="24.95" customHeight="1">
      <c r="A34" s="119" t="s">
        <v>30</v>
      </c>
      <c r="B34" s="119"/>
      <c r="C34" s="119"/>
      <c r="D34" s="121"/>
      <c r="E34" s="121"/>
      <c r="F34" s="121"/>
      <c r="G34" s="64">
        <f t="shared" ref="G34:K34" si="8">G28</f>
        <v>222</v>
      </c>
      <c r="H34" s="64">
        <f t="shared" si="8"/>
        <v>311</v>
      </c>
      <c r="I34" s="64">
        <f t="shared" si="8"/>
        <v>309</v>
      </c>
      <c r="J34" s="64">
        <f t="shared" si="8"/>
        <v>264</v>
      </c>
      <c r="K34" s="64">
        <f t="shared" si="8"/>
        <v>210</v>
      </c>
      <c r="L34" s="64">
        <f>L28</f>
        <v>154</v>
      </c>
      <c r="M34" s="122">
        <f>G34+H34+I34+J34+K34+L34</f>
        <v>1470</v>
      </c>
      <c r="N34" s="122"/>
      <c r="O34" s="22"/>
      <c r="P34" s="21"/>
      <c r="S34" s="69"/>
      <c r="T34" s="69"/>
      <c r="U34" s="69"/>
      <c r="V34" s="69"/>
    </row>
  </sheetData>
  <mergeCells count="40">
    <mergeCell ref="A33:C33"/>
    <mergeCell ref="D33:F34"/>
    <mergeCell ref="M33:N33"/>
    <mergeCell ref="A34:C34"/>
    <mergeCell ref="M34:N34"/>
    <mergeCell ref="A29:V29"/>
    <mergeCell ref="A30:L30"/>
    <mergeCell ref="P30:R30"/>
    <mergeCell ref="A31:V31"/>
    <mergeCell ref="A32:C32"/>
    <mergeCell ref="D32:F32"/>
    <mergeCell ref="M32:N32"/>
    <mergeCell ref="D19:F27"/>
    <mergeCell ref="P19:P27"/>
    <mergeCell ref="Q19:Q27"/>
    <mergeCell ref="R19:R27"/>
    <mergeCell ref="A28:F28"/>
    <mergeCell ref="P28:R28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606F7-B40F-4967-AA6E-2323AC33C32D}">
  <sheetPr>
    <tabColor rgb="FFFFC000"/>
    <pageSetUpPr fitToPage="1"/>
  </sheetPr>
  <dimension ref="A1:W33"/>
  <sheetViews>
    <sheetView showGridLines="0" view="pageBreakPreview" topLeftCell="A18" zoomScaleNormal="62" zoomScaleSheetLayoutView="100" workbookViewId="0">
      <selection activeCell="S28" sqref="S28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97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147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1300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M33</f>
        <v>1337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37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N29</f>
        <v>28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89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65" t="s">
        <v>22</v>
      </c>
      <c r="J18" s="65" t="s">
        <v>93</v>
      </c>
      <c r="K18" s="65" t="s">
        <v>94</v>
      </c>
      <c r="L18" s="65" t="s">
        <v>95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3</v>
      </c>
      <c r="D19" s="109" t="s">
        <v>90</v>
      </c>
      <c r="E19" s="109"/>
      <c r="F19" s="109"/>
      <c r="G19" s="17">
        <v>60</v>
      </c>
      <c r="H19" s="18"/>
      <c r="I19" s="18"/>
      <c r="J19" s="19"/>
      <c r="K19" s="19"/>
      <c r="L19" s="19"/>
      <c r="M19" s="18">
        <f t="shared" ref="M19:M26" si="0">SUM(G19:L19)</f>
        <v>60</v>
      </c>
      <c r="N19" s="20">
        <v>3</v>
      </c>
      <c r="O19" s="28">
        <f t="shared" ref="O19:O26" si="1">M19*N19</f>
        <v>180</v>
      </c>
      <c r="P19" s="110">
        <v>55</v>
      </c>
      <c r="Q19" s="110">
        <v>35</v>
      </c>
      <c r="R19" s="111">
        <v>26</v>
      </c>
      <c r="S19" s="39">
        <v>8.5</v>
      </c>
      <c r="T19" s="39">
        <f>S19+1.2</f>
        <v>9.6999999999999993</v>
      </c>
      <c r="U19" s="39">
        <f t="shared" ref="U19:U26" si="2">S19*N19</f>
        <v>25.5</v>
      </c>
      <c r="V19" s="39">
        <f t="shared" ref="V19:V26" si="3">T19*N19</f>
        <v>29.099999999999998</v>
      </c>
      <c r="W19" s="3"/>
    </row>
    <row r="20" spans="1:23" s="4" customFormat="1" ht="18" customHeight="1">
      <c r="A20" s="25">
        <f>C19+1</f>
        <v>4</v>
      </c>
      <c r="B20" s="26" t="s">
        <v>25</v>
      </c>
      <c r="C20" s="25">
        <f>C19+N20</f>
        <v>7</v>
      </c>
      <c r="D20" s="109"/>
      <c r="E20" s="109"/>
      <c r="F20" s="109"/>
      <c r="G20" s="17"/>
      <c r="H20" s="18">
        <v>60</v>
      </c>
      <c r="I20" s="18"/>
      <c r="J20" s="19"/>
      <c r="K20" s="19"/>
      <c r="L20" s="19"/>
      <c r="M20" s="18">
        <f t="shared" si="0"/>
        <v>60</v>
      </c>
      <c r="N20" s="20">
        <v>4</v>
      </c>
      <c r="O20" s="28">
        <f t="shared" si="1"/>
        <v>240</v>
      </c>
      <c r="P20" s="110"/>
      <c r="Q20" s="110"/>
      <c r="R20" s="111"/>
      <c r="S20" s="39">
        <v>9.1999999999999993</v>
      </c>
      <c r="T20" s="39">
        <f t="shared" ref="T20:T26" si="4">S20+1.2</f>
        <v>10.399999999999999</v>
      </c>
      <c r="U20" s="39">
        <f t="shared" si="2"/>
        <v>36.799999999999997</v>
      </c>
      <c r="V20" s="39">
        <f t="shared" si="3"/>
        <v>41.599999999999994</v>
      </c>
      <c r="W20" s="3"/>
    </row>
    <row r="21" spans="1:23" s="4" customFormat="1" ht="18" customHeight="1">
      <c r="A21" s="25">
        <f t="shared" ref="A21:A26" si="5">C20+1</f>
        <v>8</v>
      </c>
      <c r="B21" s="26" t="s">
        <v>25</v>
      </c>
      <c r="C21" s="25">
        <f>C20+N21</f>
        <v>12</v>
      </c>
      <c r="D21" s="109"/>
      <c r="E21" s="109"/>
      <c r="F21" s="109"/>
      <c r="G21" s="17"/>
      <c r="H21" s="18"/>
      <c r="I21" s="18">
        <v>50</v>
      </c>
      <c r="J21" s="19"/>
      <c r="K21" s="19"/>
      <c r="L21" s="19"/>
      <c r="M21" s="18">
        <f t="shared" si="0"/>
        <v>50</v>
      </c>
      <c r="N21" s="20">
        <v>5</v>
      </c>
      <c r="O21" s="28">
        <f t="shared" si="1"/>
        <v>250</v>
      </c>
      <c r="P21" s="110"/>
      <c r="Q21" s="110"/>
      <c r="R21" s="111"/>
      <c r="S21" s="39">
        <v>8.3000000000000007</v>
      </c>
      <c r="T21" s="39">
        <f t="shared" si="4"/>
        <v>9.5</v>
      </c>
      <c r="U21" s="39">
        <f t="shared" si="2"/>
        <v>41.5</v>
      </c>
      <c r="V21" s="39">
        <f t="shared" si="3"/>
        <v>47.5</v>
      </c>
      <c r="W21" s="3"/>
    </row>
    <row r="22" spans="1:23" s="4" customFormat="1" ht="18" customHeight="1">
      <c r="A22" s="25">
        <f t="shared" si="5"/>
        <v>13</v>
      </c>
      <c r="B22" s="26" t="s">
        <v>25</v>
      </c>
      <c r="C22" s="25">
        <f>C21+N22</f>
        <v>16</v>
      </c>
      <c r="D22" s="109"/>
      <c r="E22" s="109"/>
      <c r="F22" s="109"/>
      <c r="G22" s="17"/>
      <c r="H22" s="18"/>
      <c r="I22" s="18"/>
      <c r="J22" s="19">
        <v>50</v>
      </c>
      <c r="K22" s="19"/>
      <c r="L22" s="19"/>
      <c r="M22" s="18">
        <f t="shared" si="0"/>
        <v>50</v>
      </c>
      <c r="N22" s="20">
        <v>4</v>
      </c>
      <c r="O22" s="28">
        <f t="shared" si="1"/>
        <v>200</v>
      </c>
      <c r="P22" s="110"/>
      <c r="Q22" s="110"/>
      <c r="R22" s="111"/>
      <c r="S22" s="39">
        <v>8.8000000000000007</v>
      </c>
      <c r="T22" s="39">
        <f t="shared" si="4"/>
        <v>10</v>
      </c>
      <c r="U22" s="39">
        <f t="shared" si="2"/>
        <v>35.200000000000003</v>
      </c>
      <c r="V22" s="39">
        <f t="shared" si="3"/>
        <v>40</v>
      </c>
      <c r="W22" s="3"/>
    </row>
    <row r="23" spans="1:23" s="4" customFormat="1" ht="18" customHeight="1">
      <c r="A23" s="25">
        <f t="shared" si="5"/>
        <v>17</v>
      </c>
      <c r="B23" s="26" t="s">
        <v>25</v>
      </c>
      <c r="C23" s="25">
        <f>C22+N23</f>
        <v>21</v>
      </c>
      <c r="D23" s="109"/>
      <c r="E23" s="109"/>
      <c r="F23" s="109"/>
      <c r="G23" s="17"/>
      <c r="H23" s="18"/>
      <c r="I23" s="18"/>
      <c r="J23" s="19"/>
      <c r="K23" s="19">
        <v>40</v>
      </c>
      <c r="L23" s="19"/>
      <c r="M23" s="18">
        <f t="shared" si="0"/>
        <v>40</v>
      </c>
      <c r="N23" s="20">
        <v>5</v>
      </c>
      <c r="O23" s="28">
        <f t="shared" si="1"/>
        <v>200</v>
      </c>
      <c r="P23" s="110"/>
      <c r="Q23" s="110"/>
      <c r="R23" s="111"/>
      <c r="S23" s="39">
        <v>9.6</v>
      </c>
      <c r="T23" s="39">
        <f t="shared" si="4"/>
        <v>10.799999999999999</v>
      </c>
      <c r="U23" s="39">
        <f t="shared" si="2"/>
        <v>48</v>
      </c>
      <c r="V23" s="39">
        <f t="shared" si="3"/>
        <v>53.999999999999993</v>
      </c>
      <c r="W23" s="3"/>
    </row>
    <row r="24" spans="1:23" s="4" customFormat="1" ht="18" customHeight="1">
      <c r="A24" s="25">
        <f t="shared" si="5"/>
        <v>22</v>
      </c>
      <c r="B24" s="26" t="s">
        <v>25</v>
      </c>
      <c r="C24" s="25">
        <f t="shared" ref="C24:C26" si="6">C23+N24</f>
        <v>26</v>
      </c>
      <c r="D24" s="109"/>
      <c r="E24" s="109"/>
      <c r="F24" s="109"/>
      <c r="G24" s="17"/>
      <c r="H24" s="18"/>
      <c r="I24" s="18"/>
      <c r="J24" s="19"/>
      <c r="K24" s="19"/>
      <c r="L24" s="19">
        <v>40</v>
      </c>
      <c r="M24" s="18">
        <f t="shared" si="0"/>
        <v>40</v>
      </c>
      <c r="N24" s="20">
        <v>5</v>
      </c>
      <c r="O24" s="28">
        <f t="shared" si="1"/>
        <v>200</v>
      </c>
      <c r="P24" s="110"/>
      <c r="Q24" s="110"/>
      <c r="R24" s="111"/>
      <c r="S24" s="39">
        <v>9.6999999999999993</v>
      </c>
      <c r="T24" s="39">
        <f t="shared" si="4"/>
        <v>10.899999999999999</v>
      </c>
      <c r="U24" s="39">
        <f t="shared" si="2"/>
        <v>48.5</v>
      </c>
      <c r="V24" s="39">
        <f t="shared" si="3"/>
        <v>54.499999999999993</v>
      </c>
      <c r="W24" s="3"/>
    </row>
    <row r="25" spans="1:23" s="4" customFormat="1" ht="18" customHeight="1">
      <c r="A25" s="25">
        <f t="shared" si="5"/>
        <v>27</v>
      </c>
      <c r="B25" s="26" t="s">
        <v>25</v>
      </c>
      <c r="C25" s="25">
        <f t="shared" si="6"/>
        <v>27</v>
      </c>
      <c r="D25" s="109"/>
      <c r="E25" s="109"/>
      <c r="F25" s="109"/>
      <c r="G25" s="17">
        <v>27</v>
      </c>
      <c r="H25" s="18"/>
      <c r="I25" s="18">
        <v>9</v>
      </c>
      <c r="J25" s="19"/>
      <c r="K25" s="19"/>
      <c r="L25" s="19"/>
      <c r="M25" s="18">
        <f t="shared" si="0"/>
        <v>36</v>
      </c>
      <c r="N25" s="20">
        <v>1</v>
      </c>
      <c r="O25" s="28">
        <f t="shared" si="1"/>
        <v>36</v>
      </c>
      <c r="P25" s="110"/>
      <c r="Q25" s="110"/>
      <c r="R25" s="111"/>
      <c r="S25" s="39">
        <v>3.6</v>
      </c>
      <c r="T25" s="39">
        <f t="shared" si="4"/>
        <v>4.8</v>
      </c>
      <c r="U25" s="39">
        <f t="shared" si="2"/>
        <v>3.6</v>
      </c>
      <c r="V25" s="39">
        <f t="shared" si="3"/>
        <v>4.8</v>
      </c>
      <c r="W25" s="3"/>
    </row>
    <row r="26" spans="1:23" s="4" customFormat="1" ht="18" customHeight="1">
      <c r="A26" s="25">
        <f t="shared" si="5"/>
        <v>28</v>
      </c>
      <c r="B26" s="26" t="s">
        <v>25</v>
      </c>
      <c r="C26" s="25">
        <f t="shared" si="6"/>
        <v>28</v>
      </c>
      <c r="D26" s="109"/>
      <c r="E26" s="109"/>
      <c r="F26" s="109"/>
      <c r="G26" s="17"/>
      <c r="H26" s="18">
        <v>22</v>
      </c>
      <c r="I26" s="18"/>
      <c r="J26" s="19">
        <v>2</v>
      </c>
      <c r="K26" s="19"/>
      <c r="L26" s="19">
        <v>7</v>
      </c>
      <c r="M26" s="18">
        <f t="shared" si="0"/>
        <v>31</v>
      </c>
      <c r="N26" s="20">
        <v>1</v>
      </c>
      <c r="O26" s="28">
        <f t="shared" si="1"/>
        <v>31</v>
      </c>
      <c r="P26" s="110"/>
      <c r="Q26" s="110"/>
      <c r="R26" s="111"/>
      <c r="S26" s="39">
        <v>3.6</v>
      </c>
      <c r="T26" s="39">
        <f t="shared" si="4"/>
        <v>4.8</v>
      </c>
      <c r="U26" s="39">
        <f t="shared" si="2"/>
        <v>3.6</v>
      </c>
      <c r="V26" s="39">
        <f t="shared" si="3"/>
        <v>4.8</v>
      </c>
      <c r="W26" s="3"/>
    </row>
    <row r="27" spans="1:23" s="23" customFormat="1" ht="21.95" customHeight="1">
      <c r="A27" s="112" t="s">
        <v>2</v>
      </c>
      <c r="B27" s="112"/>
      <c r="C27" s="112"/>
      <c r="D27" s="112"/>
      <c r="E27" s="112"/>
      <c r="F27" s="112"/>
      <c r="G27" s="52">
        <f>O19+G25</f>
        <v>207</v>
      </c>
      <c r="H27" s="53">
        <f>O20+H26</f>
        <v>262</v>
      </c>
      <c r="I27" s="53">
        <f>O21+I25</f>
        <v>259</v>
      </c>
      <c r="J27" s="53">
        <f>O22+J26</f>
        <v>202</v>
      </c>
      <c r="K27" s="53">
        <f>O23</f>
        <v>200</v>
      </c>
      <c r="L27" s="53">
        <f>O24+L26</f>
        <v>207</v>
      </c>
      <c r="M27" s="54"/>
      <c r="N27" s="55">
        <f>SUM(N19:N26)</f>
        <v>28</v>
      </c>
      <c r="O27" s="56">
        <f>SUM(O19:O26)</f>
        <v>1337</v>
      </c>
      <c r="P27" s="113">
        <f>(P19*Q19*R19)/1000000*N27</f>
        <v>1.4014</v>
      </c>
      <c r="Q27" s="113"/>
      <c r="R27" s="113"/>
      <c r="S27" s="57"/>
      <c r="T27" s="58"/>
      <c r="U27" s="59">
        <f>SUM(U19:U26)</f>
        <v>242.7</v>
      </c>
      <c r="V27" s="59">
        <f>SUM(V19:V26)</f>
        <v>276.3</v>
      </c>
    </row>
    <row r="28" spans="1:23" ht="15" customHeight="1">
      <c r="A28" s="114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6"/>
      <c r="W28" s="2"/>
    </row>
    <row r="29" spans="1:23" s="6" customFormat="1" ht="15" customHeight="1">
      <c r="A29" s="103" t="s">
        <v>5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46"/>
      <c r="N29" s="47">
        <f>N27</f>
        <v>28</v>
      </c>
      <c r="O29" s="48">
        <f>O27</f>
        <v>1337</v>
      </c>
      <c r="P29" s="117">
        <f>P27</f>
        <v>1.4014</v>
      </c>
      <c r="Q29" s="117"/>
      <c r="R29" s="117"/>
      <c r="S29" s="49"/>
      <c r="T29" s="49"/>
      <c r="U29" s="50">
        <f>U27</f>
        <v>242.7</v>
      </c>
      <c r="V29" s="50">
        <f>V27</f>
        <v>276.3</v>
      </c>
      <c r="W29" s="5"/>
    </row>
    <row r="30" spans="1:23" ht="15" customHeight="1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</row>
    <row r="31" spans="1:23" s="7" customFormat="1" ht="30" customHeight="1">
      <c r="A31" s="106" t="s">
        <v>10</v>
      </c>
      <c r="B31" s="106"/>
      <c r="C31" s="106"/>
      <c r="D31" s="103" t="str">
        <f>D17</f>
        <v>COLOR</v>
      </c>
      <c r="E31" s="103"/>
      <c r="F31" s="103"/>
      <c r="G31" s="51" t="str">
        <f t="shared" ref="G31:L31" si="7">G18</f>
        <v>S</v>
      </c>
      <c r="H31" s="51" t="str">
        <f t="shared" si="7"/>
        <v>M</v>
      </c>
      <c r="I31" s="51" t="str">
        <f t="shared" si="7"/>
        <v>L</v>
      </c>
      <c r="J31" s="51" t="str">
        <f t="shared" si="7"/>
        <v>XL</v>
      </c>
      <c r="K31" s="51" t="str">
        <f t="shared" si="7"/>
        <v>XXL</v>
      </c>
      <c r="L31" s="51" t="str">
        <f t="shared" si="7"/>
        <v>3XL</v>
      </c>
      <c r="M31" s="103" t="s">
        <v>2</v>
      </c>
      <c r="N31" s="103"/>
      <c r="O31" s="69"/>
      <c r="P31" s="69"/>
      <c r="S31" s="69"/>
      <c r="T31" s="69"/>
      <c r="U31" s="69"/>
      <c r="V31" s="69"/>
    </row>
    <row r="32" spans="1:23" s="7" customFormat="1" ht="24.95" customHeight="1">
      <c r="A32" s="119" t="s">
        <v>12</v>
      </c>
      <c r="B32" s="119"/>
      <c r="C32" s="119"/>
      <c r="D32" s="120" t="str">
        <f>D19</f>
        <v>Teal</v>
      </c>
      <c r="E32" s="121"/>
      <c r="F32" s="121"/>
      <c r="G32" s="64">
        <v>200</v>
      </c>
      <c r="H32" s="64">
        <v>250</v>
      </c>
      <c r="I32" s="64">
        <v>250</v>
      </c>
      <c r="J32" s="64">
        <v>200</v>
      </c>
      <c r="K32" s="64">
        <v>200</v>
      </c>
      <c r="L32" s="64">
        <v>200</v>
      </c>
      <c r="M32" s="122">
        <f>G32+H32+I32+J32+K32+L32</f>
        <v>1300</v>
      </c>
      <c r="N32" s="122"/>
      <c r="O32" s="22"/>
      <c r="P32" s="21"/>
      <c r="S32" s="69"/>
      <c r="T32" s="69"/>
      <c r="U32" s="69"/>
      <c r="V32" s="69"/>
    </row>
    <row r="33" spans="1:22" s="7" customFormat="1" ht="24.95" customHeight="1">
      <c r="A33" s="119" t="s">
        <v>30</v>
      </c>
      <c r="B33" s="119"/>
      <c r="C33" s="119"/>
      <c r="D33" s="121"/>
      <c r="E33" s="121"/>
      <c r="F33" s="121"/>
      <c r="G33" s="64">
        <f t="shared" ref="G33:K33" si="8">G27</f>
        <v>207</v>
      </c>
      <c r="H33" s="64">
        <f t="shared" si="8"/>
        <v>262</v>
      </c>
      <c r="I33" s="64">
        <f t="shared" si="8"/>
        <v>259</v>
      </c>
      <c r="J33" s="64">
        <f t="shared" si="8"/>
        <v>202</v>
      </c>
      <c r="K33" s="64">
        <f t="shared" si="8"/>
        <v>200</v>
      </c>
      <c r="L33" s="64">
        <f>L27</f>
        <v>207</v>
      </c>
      <c r="M33" s="122">
        <f>G33+H33+I33+J33+K33+L33</f>
        <v>1337</v>
      </c>
      <c r="N33" s="122"/>
      <c r="O33" s="22"/>
      <c r="P33" s="21"/>
      <c r="S33" s="69"/>
      <c r="T33" s="69"/>
      <c r="U33" s="69"/>
      <c r="V33" s="69"/>
    </row>
  </sheetData>
  <mergeCells count="40">
    <mergeCell ref="A32:C32"/>
    <mergeCell ref="D32:F33"/>
    <mergeCell ref="M32:N32"/>
    <mergeCell ref="A33:C33"/>
    <mergeCell ref="M33:N33"/>
    <mergeCell ref="A28:V28"/>
    <mergeCell ref="A29:L29"/>
    <mergeCell ref="P29:R29"/>
    <mergeCell ref="A30:V30"/>
    <mergeCell ref="A31:C31"/>
    <mergeCell ref="D31:F31"/>
    <mergeCell ref="M31:N31"/>
    <mergeCell ref="D19:F26"/>
    <mergeCell ref="P19:P26"/>
    <mergeCell ref="Q19:Q26"/>
    <mergeCell ref="R19:R26"/>
    <mergeCell ref="A27:F27"/>
    <mergeCell ref="P27:R27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4D10-124C-4B86-811C-4F5EB65FEB9C}">
  <sheetPr>
    <tabColor rgb="FFFF5050"/>
    <pageSetUpPr fitToPage="1"/>
  </sheetPr>
  <dimension ref="A1:W33"/>
  <sheetViews>
    <sheetView showGridLines="0" view="pageBreakPreview" topLeftCell="A18" zoomScaleNormal="62" zoomScaleSheetLayoutView="100" workbookViewId="0">
      <selection activeCell="S27" sqref="S27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148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149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1100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M33</f>
        <v>1104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4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N29</f>
        <v>52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96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65" t="s">
        <v>22</v>
      </c>
      <c r="J18" s="65" t="s">
        <v>93</v>
      </c>
      <c r="K18" s="65" t="s">
        <v>94</v>
      </c>
      <c r="L18" s="65" t="s">
        <v>95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7</v>
      </c>
      <c r="D19" s="109" t="s">
        <v>99</v>
      </c>
      <c r="E19" s="109"/>
      <c r="F19" s="109"/>
      <c r="G19" s="17">
        <v>25</v>
      </c>
      <c r="H19" s="18"/>
      <c r="I19" s="18"/>
      <c r="J19" s="19"/>
      <c r="K19" s="19"/>
      <c r="L19" s="19"/>
      <c r="M19" s="18">
        <f t="shared" ref="M19:M26" si="0">SUM(G19:L19)</f>
        <v>25</v>
      </c>
      <c r="N19" s="20">
        <v>7</v>
      </c>
      <c r="O19" s="28">
        <f t="shared" ref="O19:O26" si="1">M19*N19</f>
        <v>175</v>
      </c>
      <c r="P19" s="110">
        <v>60</v>
      </c>
      <c r="Q19" s="110">
        <v>41</v>
      </c>
      <c r="R19" s="111">
        <v>40</v>
      </c>
      <c r="S19" s="39">
        <v>15.2</v>
      </c>
      <c r="T19" s="39">
        <f>S19+1.2</f>
        <v>16.399999999999999</v>
      </c>
      <c r="U19" s="39">
        <f t="shared" ref="U19:U26" si="2">S19*N19</f>
        <v>106.39999999999999</v>
      </c>
      <c r="V19" s="39">
        <f t="shared" ref="V19:V26" si="3">T19*N19</f>
        <v>114.79999999999998</v>
      </c>
      <c r="W19" s="3"/>
    </row>
    <row r="20" spans="1:23" s="4" customFormat="1" ht="18" customHeight="1">
      <c r="A20" s="25">
        <f>C19+1</f>
        <v>8</v>
      </c>
      <c r="B20" s="26" t="s">
        <v>25</v>
      </c>
      <c r="C20" s="25">
        <f>C19+N20</f>
        <v>15</v>
      </c>
      <c r="D20" s="109"/>
      <c r="E20" s="109"/>
      <c r="F20" s="109"/>
      <c r="G20" s="17"/>
      <c r="H20" s="18">
        <v>25</v>
      </c>
      <c r="I20" s="18"/>
      <c r="J20" s="19"/>
      <c r="K20" s="19"/>
      <c r="L20" s="19"/>
      <c r="M20" s="18">
        <f t="shared" si="0"/>
        <v>25</v>
      </c>
      <c r="N20" s="20">
        <v>8</v>
      </c>
      <c r="O20" s="28">
        <f t="shared" si="1"/>
        <v>200</v>
      </c>
      <c r="P20" s="110"/>
      <c r="Q20" s="110"/>
      <c r="R20" s="111"/>
      <c r="S20" s="39">
        <v>16</v>
      </c>
      <c r="T20" s="39">
        <f t="shared" ref="T20:T26" si="4">S20+1.2</f>
        <v>17.2</v>
      </c>
      <c r="U20" s="39">
        <f t="shared" si="2"/>
        <v>128</v>
      </c>
      <c r="V20" s="39">
        <f t="shared" si="3"/>
        <v>137.6</v>
      </c>
      <c r="W20" s="3"/>
    </row>
    <row r="21" spans="1:23" s="4" customFormat="1" ht="18" customHeight="1">
      <c r="A21" s="25">
        <f t="shared" ref="A21:A26" si="5">C20+1</f>
        <v>16</v>
      </c>
      <c r="B21" s="26" t="s">
        <v>25</v>
      </c>
      <c r="C21" s="25">
        <f>C20+N21</f>
        <v>25</v>
      </c>
      <c r="D21" s="109"/>
      <c r="E21" s="109"/>
      <c r="F21" s="109"/>
      <c r="G21" s="17"/>
      <c r="H21" s="18"/>
      <c r="I21" s="18">
        <v>20</v>
      </c>
      <c r="J21" s="19"/>
      <c r="K21" s="19"/>
      <c r="L21" s="19"/>
      <c r="M21" s="18">
        <f t="shared" si="0"/>
        <v>20</v>
      </c>
      <c r="N21" s="20">
        <v>10</v>
      </c>
      <c r="O21" s="28">
        <f t="shared" si="1"/>
        <v>200</v>
      </c>
      <c r="P21" s="110"/>
      <c r="Q21" s="110"/>
      <c r="R21" s="111"/>
      <c r="S21" s="39">
        <v>13.6</v>
      </c>
      <c r="T21" s="39">
        <f t="shared" si="4"/>
        <v>14.799999999999999</v>
      </c>
      <c r="U21" s="39">
        <f t="shared" si="2"/>
        <v>136</v>
      </c>
      <c r="V21" s="39">
        <f t="shared" si="3"/>
        <v>148</v>
      </c>
      <c r="W21" s="3"/>
    </row>
    <row r="22" spans="1:23" s="4" customFormat="1" ht="18" customHeight="1">
      <c r="A22" s="25">
        <f t="shared" si="5"/>
        <v>26</v>
      </c>
      <c r="B22" s="26" t="s">
        <v>25</v>
      </c>
      <c r="C22" s="25">
        <f>C21+N22</f>
        <v>35</v>
      </c>
      <c r="D22" s="109"/>
      <c r="E22" s="109"/>
      <c r="F22" s="109"/>
      <c r="G22" s="17"/>
      <c r="H22" s="18"/>
      <c r="I22" s="18"/>
      <c r="J22" s="19">
        <v>20</v>
      </c>
      <c r="K22" s="19"/>
      <c r="L22" s="19"/>
      <c r="M22" s="18">
        <f t="shared" si="0"/>
        <v>20</v>
      </c>
      <c r="N22" s="20">
        <v>10</v>
      </c>
      <c r="O22" s="28">
        <f t="shared" si="1"/>
        <v>200</v>
      </c>
      <c r="P22" s="110"/>
      <c r="Q22" s="110"/>
      <c r="R22" s="111"/>
      <c r="S22" s="39">
        <v>14.2</v>
      </c>
      <c r="T22" s="39">
        <f t="shared" si="4"/>
        <v>15.399999999999999</v>
      </c>
      <c r="U22" s="39">
        <f t="shared" si="2"/>
        <v>142</v>
      </c>
      <c r="V22" s="39">
        <f t="shared" si="3"/>
        <v>154</v>
      </c>
      <c r="W22" s="3"/>
    </row>
    <row r="23" spans="1:23" s="4" customFormat="1" ht="18" customHeight="1">
      <c r="A23" s="25">
        <f t="shared" si="5"/>
        <v>36</v>
      </c>
      <c r="B23" s="26" t="s">
        <v>25</v>
      </c>
      <c r="C23" s="25">
        <f>C22+N23</f>
        <v>45</v>
      </c>
      <c r="D23" s="109"/>
      <c r="E23" s="109"/>
      <c r="F23" s="109"/>
      <c r="G23" s="17"/>
      <c r="H23" s="18"/>
      <c r="I23" s="18"/>
      <c r="J23" s="19"/>
      <c r="K23" s="19">
        <v>20</v>
      </c>
      <c r="L23" s="19"/>
      <c r="M23" s="18">
        <f t="shared" si="0"/>
        <v>20</v>
      </c>
      <c r="N23" s="20">
        <v>10</v>
      </c>
      <c r="O23" s="28">
        <f t="shared" si="1"/>
        <v>200</v>
      </c>
      <c r="P23" s="110"/>
      <c r="Q23" s="110"/>
      <c r="R23" s="111"/>
      <c r="S23" s="39">
        <v>14.9</v>
      </c>
      <c r="T23" s="39">
        <f t="shared" si="4"/>
        <v>16.100000000000001</v>
      </c>
      <c r="U23" s="39">
        <f t="shared" si="2"/>
        <v>149</v>
      </c>
      <c r="V23" s="39">
        <f t="shared" si="3"/>
        <v>161</v>
      </c>
      <c r="W23" s="3"/>
    </row>
    <row r="24" spans="1:23" s="4" customFormat="1" ht="18" customHeight="1">
      <c r="A24" s="25">
        <f t="shared" si="5"/>
        <v>46</v>
      </c>
      <c r="B24" s="26" t="s">
        <v>25</v>
      </c>
      <c r="C24" s="25">
        <f t="shared" ref="C24:C26" si="6">C23+N24</f>
        <v>50</v>
      </c>
      <c r="D24" s="109"/>
      <c r="E24" s="109"/>
      <c r="F24" s="109"/>
      <c r="G24" s="17"/>
      <c r="H24" s="18"/>
      <c r="I24" s="18"/>
      <c r="J24" s="19"/>
      <c r="K24" s="19"/>
      <c r="L24" s="19">
        <v>20</v>
      </c>
      <c r="M24" s="18">
        <f t="shared" si="0"/>
        <v>20</v>
      </c>
      <c r="N24" s="20">
        <v>5</v>
      </c>
      <c r="O24" s="28">
        <f t="shared" si="1"/>
        <v>100</v>
      </c>
      <c r="P24" s="110"/>
      <c r="Q24" s="110"/>
      <c r="R24" s="111"/>
      <c r="S24" s="39">
        <v>15.7</v>
      </c>
      <c r="T24" s="39">
        <f t="shared" si="4"/>
        <v>16.899999999999999</v>
      </c>
      <c r="U24" s="39">
        <f t="shared" si="2"/>
        <v>78.5</v>
      </c>
      <c r="V24" s="39">
        <f t="shared" si="3"/>
        <v>84.5</v>
      </c>
      <c r="W24" s="3"/>
    </row>
    <row r="25" spans="1:23" s="4" customFormat="1" ht="18" customHeight="1">
      <c r="A25" s="25">
        <f t="shared" si="5"/>
        <v>51</v>
      </c>
      <c r="B25" s="26" t="s">
        <v>25</v>
      </c>
      <c r="C25" s="25">
        <f t="shared" si="6"/>
        <v>51</v>
      </c>
      <c r="D25" s="109"/>
      <c r="E25" s="109"/>
      <c r="F25" s="109"/>
      <c r="G25" s="17">
        <v>20</v>
      </c>
      <c r="H25" s="18"/>
      <c r="I25" s="18">
        <v>1</v>
      </c>
      <c r="J25" s="19"/>
      <c r="K25" s="19"/>
      <c r="L25" s="19">
        <v>2</v>
      </c>
      <c r="M25" s="18">
        <f t="shared" si="0"/>
        <v>23</v>
      </c>
      <c r="N25" s="20">
        <v>1</v>
      </c>
      <c r="O25" s="28">
        <f t="shared" si="1"/>
        <v>23</v>
      </c>
      <c r="P25" s="110"/>
      <c r="Q25" s="110"/>
      <c r="R25" s="111"/>
      <c r="S25" s="39">
        <v>14.6</v>
      </c>
      <c r="T25" s="39">
        <f t="shared" si="4"/>
        <v>15.799999999999999</v>
      </c>
      <c r="U25" s="39">
        <f t="shared" si="2"/>
        <v>14.6</v>
      </c>
      <c r="V25" s="39">
        <f t="shared" si="3"/>
        <v>15.799999999999999</v>
      </c>
      <c r="W25" s="3"/>
    </row>
    <row r="26" spans="1:23" s="4" customFormat="1" ht="18" customHeight="1">
      <c r="A26" s="25">
        <f t="shared" si="5"/>
        <v>52</v>
      </c>
      <c r="B26" s="26" t="s">
        <v>25</v>
      </c>
      <c r="C26" s="25">
        <f t="shared" si="6"/>
        <v>52</v>
      </c>
      <c r="D26" s="109"/>
      <c r="E26" s="109"/>
      <c r="F26" s="109"/>
      <c r="G26" s="17"/>
      <c r="H26" s="18">
        <v>11</v>
      </c>
      <c r="I26" s="18"/>
      <c r="J26" s="19">
        <v>9</v>
      </c>
      <c r="K26" s="19">
        <v>4</v>
      </c>
      <c r="L26" s="19"/>
      <c r="M26" s="18">
        <f t="shared" si="0"/>
        <v>24</v>
      </c>
      <c r="N26" s="20">
        <v>1</v>
      </c>
      <c r="O26" s="28">
        <f t="shared" si="1"/>
        <v>24</v>
      </c>
      <c r="P26" s="110"/>
      <c r="Q26" s="110"/>
      <c r="R26" s="111"/>
      <c r="S26" s="39">
        <v>16.399999999999999</v>
      </c>
      <c r="T26" s="39">
        <f t="shared" si="4"/>
        <v>17.599999999999998</v>
      </c>
      <c r="U26" s="39">
        <f t="shared" si="2"/>
        <v>16.399999999999999</v>
      </c>
      <c r="V26" s="39">
        <f t="shared" si="3"/>
        <v>17.599999999999998</v>
      </c>
      <c r="W26" s="3"/>
    </row>
    <row r="27" spans="1:23" s="23" customFormat="1" ht="21.95" customHeight="1">
      <c r="A27" s="112" t="s">
        <v>2</v>
      </c>
      <c r="B27" s="112"/>
      <c r="C27" s="112"/>
      <c r="D27" s="112"/>
      <c r="E27" s="112"/>
      <c r="F27" s="112"/>
      <c r="G27" s="52">
        <f>O19+G25</f>
        <v>195</v>
      </c>
      <c r="H27" s="53">
        <f>O20+H25</f>
        <v>200</v>
      </c>
      <c r="I27" s="53">
        <f>O21+I26</f>
        <v>200</v>
      </c>
      <c r="J27" s="53">
        <f>O22+J26</f>
        <v>209</v>
      </c>
      <c r="K27" s="53">
        <f>O23</f>
        <v>200</v>
      </c>
      <c r="L27" s="53">
        <f>O24+L26</f>
        <v>100</v>
      </c>
      <c r="M27" s="54"/>
      <c r="N27" s="55">
        <f>SUM(N19:N26)</f>
        <v>52</v>
      </c>
      <c r="O27" s="56">
        <f>SUM(O19:O26)</f>
        <v>1122</v>
      </c>
      <c r="P27" s="113">
        <f>(P19*Q19*R19)/1000000*N27</f>
        <v>5.1168000000000005</v>
      </c>
      <c r="Q27" s="113"/>
      <c r="R27" s="113"/>
      <c r="S27" s="57"/>
      <c r="T27" s="58"/>
      <c r="U27" s="59">
        <f>SUM(U19:U26)</f>
        <v>770.9</v>
      </c>
      <c r="V27" s="59">
        <f>SUM(V19:V26)</f>
        <v>833.3</v>
      </c>
    </row>
    <row r="28" spans="1:23" ht="15" customHeight="1">
      <c r="A28" s="114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6"/>
      <c r="W28" s="2"/>
    </row>
    <row r="29" spans="1:23" s="6" customFormat="1" ht="15" customHeight="1">
      <c r="A29" s="103" t="s">
        <v>5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46"/>
      <c r="N29" s="47">
        <f>N27</f>
        <v>52</v>
      </c>
      <c r="O29" s="48">
        <f>O27</f>
        <v>1122</v>
      </c>
      <c r="P29" s="117">
        <f>P27</f>
        <v>5.1168000000000005</v>
      </c>
      <c r="Q29" s="117"/>
      <c r="R29" s="117"/>
      <c r="S29" s="49"/>
      <c r="T29" s="49"/>
      <c r="U29" s="50">
        <f>U27</f>
        <v>770.9</v>
      </c>
      <c r="V29" s="50">
        <f>V27</f>
        <v>833.3</v>
      </c>
      <c r="W29" s="5"/>
    </row>
    <row r="30" spans="1:23" ht="15" customHeight="1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</row>
    <row r="31" spans="1:23" s="7" customFormat="1" ht="30" customHeight="1">
      <c r="A31" s="106" t="s">
        <v>10</v>
      </c>
      <c r="B31" s="106"/>
      <c r="C31" s="106"/>
      <c r="D31" s="103" t="str">
        <f>D17</f>
        <v>COLOR</v>
      </c>
      <c r="E31" s="103"/>
      <c r="F31" s="103"/>
      <c r="G31" s="51" t="str">
        <f t="shared" ref="G31:L31" si="7">G18</f>
        <v>S</v>
      </c>
      <c r="H31" s="51" t="str">
        <f t="shared" si="7"/>
        <v>M</v>
      </c>
      <c r="I31" s="51" t="str">
        <f t="shared" si="7"/>
        <v>L</v>
      </c>
      <c r="J31" s="51" t="str">
        <f t="shared" si="7"/>
        <v>XL</v>
      </c>
      <c r="K31" s="51" t="str">
        <f t="shared" si="7"/>
        <v>XXL</v>
      </c>
      <c r="L31" s="51" t="str">
        <f t="shared" si="7"/>
        <v>3XL</v>
      </c>
      <c r="M31" s="103" t="s">
        <v>2</v>
      </c>
      <c r="N31" s="103"/>
      <c r="O31" s="69"/>
      <c r="P31" s="69"/>
      <c r="S31" s="69"/>
      <c r="T31" s="69"/>
      <c r="U31" s="69"/>
      <c r="V31" s="69"/>
    </row>
    <row r="32" spans="1:23" s="7" customFormat="1" ht="24.95" customHeight="1">
      <c r="A32" s="119" t="s">
        <v>12</v>
      </c>
      <c r="B32" s="119"/>
      <c r="C32" s="119"/>
      <c r="D32" s="120" t="str">
        <f>D19</f>
        <v>Black</v>
      </c>
      <c r="E32" s="121"/>
      <c r="F32" s="121"/>
      <c r="G32" s="64">
        <v>200</v>
      </c>
      <c r="H32" s="64">
        <v>200</v>
      </c>
      <c r="I32" s="64">
        <v>200</v>
      </c>
      <c r="J32" s="64">
        <v>200</v>
      </c>
      <c r="K32" s="64">
        <v>200</v>
      </c>
      <c r="L32" s="64">
        <v>100</v>
      </c>
      <c r="M32" s="122">
        <f>G32+H32+I32+J32+K32+L32</f>
        <v>1100</v>
      </c>
      <c r="N32" s="122"/>
      <c r="O32" s="22"/>
      <c r="P32" s="21"/>
      <c r="S32" s="69"/>
      <c r="T32" s="69"/>
      <c r="U32" s="69"/>
      <c r="V32" s="69"/>
    </row>
    <row r="33" spans="1:22" s="7" customFormat="1" ht="24.95" customHeight="1">
      <c r="A33" s="119" t="s">
        <v>30</v>
      </c>
      <c r="B33" s="119"/>
      <c r="C33" s="119"/>
      <c r="D33" s="121"/>
      <c r="E33" s="121"/>
      <c r="F33" s="121"/>
      <c r="G33" s="64">
        <f t="shared" ref="G33:K33" si="8">G27</f>
        <v>195</v>
      </c>
      <c r="H33" s="64">
        <f t="shared" si="8"/>
        <v>200</v>
      </c>
      <c r="I33" s="64">
        <f t="shared" si="8"/>
        <v>200</v>
      </c>
      <c r="J33" s="64">
        <f t="shared" si="8"/>
        <v>209</v>
      </c>
      <c r="K33" s="64">
        <f t="shared" si="8"/>
        <v>200</v>
      </c>
      <c r="L33" s="64">
        <f>L27</f>
        <v>100</v>
      </c>
      <c r="M33" s="122">
        <f>G33+H33+I33+J33+K33+L33</f>
        <v>1104</v>
      </c>
      <c r="N33" s="122"/>
      <c r="O33" s="22"/>
      <c r="P33" s="21"/>
      <c r="S33" s="69"/>
      <c r="T33" s="69"/>
      <c r="U33" s="69"/>
      <c r="V33" s="69"/>
    </row>
  </sheetData>
  <mergeCells count="40">
    <mergeCell ref="A32:C32"/>
    <mergeCell ref="D32:F33"/>
    <mergeCell ref="M32:N32"/>
    <mergeCell ref="A33:C33"/>
    <mergeCell ref="M33:N33"/>
    <mergeCell ref="A28:V28"/>
    <mergeCell ref="A29:L29"/>
    <mergeCell ref="P29:R29"/>
    <mergeCell ref="A30:V30"/>
    <mergeCell ref="A31:C31"/>
    <mergeCell ref="D31:F31"/>
    <mergeCell ref="M31:N31"/>
    <mergeCell ref="D19:F26"/>
    <mergeCell ref="P19:P26"/>
    <mergeCell ref="Q19:Q26"/>
    <mergeCell ref="R19:R26"/>
    <mergeCell ref="A27:F27"/>
    <mergeCell ref="P27:R27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53AB0-E563-4094-AF1D-2154A3A85035}">
  <sheetPr>
    <tabColor theme="7" tint="-0.249977111117893"/>
    <pageSetUpPr fitToPage="1"/>
  </sheetPr>
  <dimension ref="A1:W33"/>
  <sheetViews>
    <sheetView showGridLines="0" view="pageBreakPreview" topLeftCell="A16" zoomScaleNormal="62" zoomScaleSheetLayoutView="100" workbookViewId="0">
      <selection activeCell="R30" sqref="R30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150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98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1000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M33</f>
        <v>1029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29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N29</f>
        <v>19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89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65" t="s">
        <v>22</v>
      </c>
      <c r="J18" s="65" t="s">
        <v>93</v>
      </c>
      <c r="K18" s="65" t="s">
        <v>94</v>
      </c>
      <c r="L18" s="65" t="s">
        <v>95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3</v>
      </c>
      <c r="D19" s="109" t="s">
        <v>151</v>
      </c>
      <c r="E19" s="109"/>
      <c r="F19" s="109"/>
      <c r="G19" s="17">
        <v>60</v>
      </c>
      <c r="H19" s="18"/>
      <c r="I19" s="18"/>
      <c r="J19" s="19"/>
      <c r="K19" s="19"/>
      <c r="L19" s="19"/>
      <c r="M19" s="18">
        <f t="shared" ref="M19:M26" si="0">SUM(G19:L19)</f>
        <v>60</v>
      </c>
      <c r="N19" s="20">
        <v>3</v>
      </c>
      <c r="O19" s="28">
        <f t="shared" ref="O19:O26" si="1">M19*N19</f>
        <v>180</v>
      </c>
      <c r="P19" s="110">
        <v>55</v>
      </c>
      <c r="Q19" s="110">
        <v>28</v>
      </c>
      <c r="R19" s="111">
        <v>28</v>
      </c>
      <c r="S19" s="39">
        <v>9.1999999999999993</v>
      </c>
      <c r="T19" s="39">
        <f>S19+1</f>
        <v>10.199999999999999</v>
      </c>
      <c r="U19" s="39">
        <f t="shared" ref="U19:U26" si="2">S19*N19</f>
        <v>27.599999999999998</v>
      </c>
      <c r="V19" s="39">
        <f t="shared" ref="V19:V26" si="3">T19*N19</f>
        <v>30.599999999999998</v>
      </c>
      <c r="W19" s="3"/>
    </row>
    <row r="20" spans="1:23" s="4" customFormat="1" ht="18" customHeight="1">
      <c r="A20" s="25">
        <f>C19+1</f>
        <v>4</v>
      </c>
      <c r="B20" s="26" t="s">
        <v>25</v>
      </c>
      <c r="C20" s="25">
        <f>C19+N20</f>
        <v>6</v>
      </c>
      <c r="D20" s="109"/>
      <c r="E20" s="109"/>
      <c r="F20" s="109"/>
      <c r="G20" s="17"/>
      <c r="H20" s="18">
        <v>60</v>
      </c>
      <c r="I20" s="18"/>
      <c r="J20" s="19"/>
      <c r="K20" s="19"/>
      <c r="L20" s="19"/>
      <c r="M20" s="18">
        <f t="shared" si="0"/>
        <v>60</v>
      </c>
      <c r="N20" s="20">
        <v>3</v>
      </c>
      <c r="O20" s="28">
        <f t="shared" si="1"/>
        <v>180</v>
      </c>
      <c r="P20" s="110"/>
      <c r="Q20" s="110"/>
      <c r="R20" s="111"/>
      <c r="S20" s="39">
        <v>9.3000000000000007</v>
      </c>
      <c r="T20" s="39">
        <f t="shared" ref="T20:T26" si="4">S20+1</f>
        <v>10.3</v>
      </c>
      <c r="U20" s="39">
        <f t="shared" si="2"/>
        <v>27.900000000000002</v>
      </c>
      <c r="V20" s="39">
        <f t="shared" si="3"/>
        <v>30.900000000000002</v>
      </c>
      <c r="W20" s="3"/>
    </row>
    <row r="21" spans="1:23" s="4" customFormat="1" ht="18" customHeight="1">
      <c r="A21" s="25">
        <f t="shared" ref="A21:A26" si="5">C20+1</f>
        <v>7</v>
      </c>
      <c r="B21" s="26" t="s">
        <v>25</v>
      </c>
      <c r="C21" s="25">
        <f>C20+N21</f>
        <v>10</v>
      </c>
      <c r="D21" s="109"/>
      <c r="E21" s="109"/>
      <c r="F21" s="109"/>
      <c r="G21" s="17"/>
      <c r="H21" s="18"/>
      <c r="I21" s="18">
        <v>50</v>
      </c>
      <c r="J21" s="19"/>
      <c r="K21" s="19"/>
      <c r="L21" s="19"/>
      <c r="M21" s="18">
        <f t="shared" si="0"/>
        <v>50</v>
      </c>
      <c r="N21" s="20">
        <v>4</v>
      </c>
      <c r="O21" s="28">
        <f t="shared" si="1"/>
        <v>200</v>
      </c>
      <c r="P21" s="110"/>
      <c r="Q21" s="110"/>
      <c r="R21" s="111"/>
      <c r="S21" s="39">
        <v>9.6999999999999993</v>
      </c>
      <c r="T21" s="39">
        <f t="shared" si="4"/>
        <v>10.7</v>
      </c>
      <c r="U21" s="39">
        <f t="shared" si="2"/>
        <v>38.799999999999997</v>
      </c>
      <c r="V21" s="39">
        <f t="shared" si="3"/>
        <v>42.8</v>
      </c>
      <c r="W21" s="3"/>
    </row>
    <row r="22" spans="1:23" s="4" customFormat="1" ht="18" customHeight="1">
      <c r="A22" s="25">
        <f t="shared" si="5"/>
        <v>11</v>
      </c>
      <c r="B22" s="26" t="s">
        <v>25</v>
      </c>
      <c r="C22" s="25">
        <f>C21+N22</f>
        <v>14</v>
      </c>
      <c r="D22" s="109"/>
      <c r="E22" s="109"/>
      <c r="F22" s="109"/>
      <c r="G22" s="17"/>
      <c r="H22" s="18"/>
      <c r="I22" s="18"/>
      <c r="J22" s="19">
        <v>50</v>
      </c>
      <c r="K22" s="19"/>
      <c r="L22" s="19"/>
      <c r="M22" s="18">
        <f t="shared" si="0"/>
        <v>50</v>
      </c>
      <c r="N22" s="20">
        <v>4</v>
      </c>
      <c r="O22" s="28">
        <f t="shared" si="1"/>
        <v>200</v>
      </c>
      <c r="P22" s="110"/>
      <c r="Q22" s="110"/>
      <c r="R22" s="111"/>
      <c r="S22" s="39">
        <v>9.9</v>
      </c>
      <c r="T22" s="39">
        <f t="shared" si="4"/>
        <v>10.9</v>
      </c>
      <c r="U22" s="39">
        <f t="shared" si="2"/>
        <v>39.6</v>
      </c>
      <c r="V22" s="39">
        <f t="shared" si="3"/>
        <v>43.6</v>
      </c>
      <c r="W22" s="3"/>
    </row>
    <row r="23" spans="1:23" s="4" customFormat="1" ht="18" customHeight="1">
      <c r="A23" s="25">
        <f t="shared" si="5"/>
        <v>15</v>
      </c>
      <c r="B23" s="26" t="s">
        <v>25</v>
      </c>
      <c r="C23" s="25">
        <f>C22+N23</f>
        <v>16</v>
      </c>
      <c r="D23" s="109"/>
      <c r="E23" s="109"/>
      <c r="F23" s="109"/>
      <c r="G23" s="17"/>
      <c r="H23" s="18"/>
      <c r="I23" s="18"/>
      <c r="J23" s="19"/>
      <c r="K23" s="19">
        <v>45</v>
      </c>
      <c r="L23" s="19"/>
      <c r="M23" s="18">
        <f t="shared" si="0"/>
        <v>45</v>
      </c>
      <c r="N23" s="20">
        <v>2</v>
      </c>
      <c r="O23" s="28">
        <f t="shared" si="1"/>
        <v>90</v>
      </c>
      <c r="P23" s="110"/>
      <c r="Q23" s="110"/>
      <c r="R23" s="111"/>
      <c r="S23" s="39">
        <v>9.5</v>
      </c>
      <c r="T23" s="39">
        <f t="shared" si="4"/>
        <v>10.5</v>
      </c>
      <c r="U23" s="39">
        <f t="shared" si="2"/>
        <v>19</v>
      </c>
      <c r="V23" s="39">
        <f t="shared" si="3"/>
        <v>21</v>
      </c>
      <c r="W23" s="3"/>
    </row>
    <row r="24" spans="1:23" s="4" customFormat="1" ht="18" customHeight="1">
      <c r="A24" s="25">
        <f t="shared" si="5"/>
        <v>17</v>
      </c>
      <c r="B24" s="26" t="s">
        <v>25</v>
      </c>
      <c r="C24" s="25">
        <f t="shared" ref="C24:C26" si="6">C23+N24</f>
        <v>17</v>
      </c>
      <c r="D24" s="109"/>
      <c r="E24" s="109"/>
      <c r="F24" s="109"/>
      <c r="G24" s="17"/>
      <c r="H24" s="18"/>
      <c r="I24" s="18"/>
      <c r="J24" s="19"/>
      <c r="K24" s="19"/>
      <c r="L24" s="19">
        <v>40</v>
      </c>
      <c r="M24" s="18">
        <f t="shared" si="0"/>
        <v>40</v>
      </c>
      <c r="N24" s="20">
        <v>1</v>
      </c>
      <c r="O24" s="28">
        <f t="shared" si="1"/>
        <v>40</v>
      </c>
      <c r="P24" s="110"/>
      <c r="Q24" s="110"/>
      <c r="R24" s="111"/>
      <c r="S24" s="39">
        <v>9.1999999999999993</v>
      </c>
      <c r="T24" s="39">
        <f t="shared" si="4"/>
        <v>10.199999999999999</v>
      </c>
      <c r="U24" s="39">
        <f t="shared" si="2"/>
        <v>9.1999999999999993</v>
      </c>
      <c r="V24" s="39">
        <f t="shared" si="3"/>
        <v>10.199999999999999</v>
      </c>
      <c r="W24" s="3"/>
    </row>
    <row r="25" spans="1:23" s="4" customFormat="1" ht="18" customHeight="1">
      <c r="A25" s="25">
        <f t="shared" si="5"/>
        <v>18</v>
      </c>
      <c r="B25" s="26" t="s">
        <v>25</v>
      </c>
      <c r="C25" s="25">
        <f t="shared" si="6"/>
        <v>18</v>
      </c>
      <c r="D25" s="109"/>
      <c r="E25" s="109"/>
      <c r="F25" s="109"/>
      <c r="G25" s="17">
        <v>34</v>
      </c>
      <c r="H25" s="18"/>
      <c r="I25" s="18">
        <v>18</v>
      </c>
      <c r="J25" s="19"/>
      <c r="K25" s="19">
        <v>12</v>
      </c>
      <c r="L25" s="19"/>
      <c r="M25" s="18">
        <f t="shared" si="0"/>
        <v>64</v>
      </c>
      <c r="N25" s="20">
        <v>1</v>
      </c>
      <c r="O25" s="28">
        <f t="shared" si="1"/>
        <v>64</v>
      </c>
      <c r="P25" s="110"/>
      <c r="Q25" s="110"/>
      <c r="R25" s="111"/>
      <c r="S25" s="39">
        <v>9.1999999999999993</v>
      </c>
      <c r="T25" s="39">
        <f t="shared" si="4"/>
        <v>10.199999999999999</v>
      </c>
      <c r="U25" s="39">
        <f t="shared" si="2"/>
        <v>9.1999999999999993</v>
      </c>
      <c r="V25" s="39">
        <f t="shared" si="3"/>
        <v>10.199999999999999</v>
      </c>
      <c r="W25" s="3"/>
    </row>
    <row r="26" spans="1:23" s="4" customFormat="1" ht="18" customHeight="1">
      <c r="A26" s="25">
        <f t="shared" si="5"/>
        <v>19</v>
      </c>
      <c r="B26" s="26" t="s">
        <v>25</v>
      </c>
      <c r="C26" s="25">
        <f t="shared" si="6"/>
        <v>19</v>
      </c>
      <c r="D26" s="109"/>
      <c r="E26" s="109"/>
      <c r="F26" s="109"/>
      <c r="G26" s="17"/>
      <c r="H26" s="18">
        <v>37</v>
      </c>
      <c r="I26" s="18"/>
      <c r="J26" s="19">
        <v>15</v>
      </c>
      <c r="K26" s="19"/>
      <c r="L26" s="19">
        <v>23</v>
      </c>
      <c r="M26" s="18">
        <f t="shared" si="0"/>
        <v>75</v>
      </c>
      <c r="N26" s="20">
        <v>1</v>
      </c>
      <c r="O26" s="28">
        <f t="shared" si="1"/>
        <v>75</v>
      </c>
      <c r="P26" s="110"/>
      <c r="Q26" s="110"/>
      <c r="R26" s="111"/>
      <c r="S26" s="39">
        <v>9.6999999999999993</v>
      </c>
      <c r="T26" s="39">
        <f t="shared" si="4"/>
        <v>10.7</v>
      </c>
      <c r="U26" s="39">
        <f t="shared" si="2"/>
        <v>9.6999999999999993</v>
      </c>
      <c r="V26" s="39">
        <f t="shared" si="3"/>
        <v>10.7</v>
      </c>
      <c r="W26" s="3"/>
    </row>
    <row r="27" spans="1:23" s="23" customFormat="1" ht="21.95" customHeight="1">
      <c r="A27" s="112" t="s">
        <v>2</v>
      </c>
      <c r="B27" s="112"/>
      <c r="C27" s="112"/>
      <c r="D27" s="112"/>
      <c r="E27" s="112"/>
      <c r="F27" s="112"/>
      <c r="G27" s="52">
        <f>O19+G25</f>
        <v>214</v>
      </c>
      <c r="H27" s="53">
        <f>O20+H26</f>
        <v>217</v>
      </c>
      <c r="I27" s="53">
        <f>O21+I25</f>
        <v>218</v>
      </c>
      <c r="J27" s="53">
        <f>O22+J26</f>
        <v>215</v>
      </c>
      <c r="K27" s="53">
        <f>O23+K25</f>
        <v>102</v>
      </c>
      <c r="L27" s="53">
        <f>O24+L26</f>
        <v>63</v>
      </c>
      <c r="M27" s="54"/>
      <c r="N27" s="55">
        <f>SUM(N19:N26)</f>
        <v>19</v>
      </c>
      <c r="O27" s="56">
        <f>SUM(O19:O26)</f>
        <v>1029</v>
      </c>
      <c r="P27" s="113">
        <f>(P19*Q19*R19)/1000000*N27</f>
        <v>0.81928000000000001</v>
      </c>
      <c r="Q27" s="113"/>
      <c r="R27" s="113"/>
      <c r="S27" s="57"/>
      <c r="T27" s="58"/>
      <c r="U27" s="59">
        <f>SUM(U19:U26)</f>
        <v>180.99999999999997</v>
      </c>
      <c r="V27" s="59">
        <f>SUM(V19:V26)</f>
        <v>199.99999999999997</v>
      </c>
    </row>
    <row r="28" spans="1:23" ht="15" customHeight="1">
      <c r="A28" s="114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6"/>
      <c r="W28" s="2"/>
    </row>
    <row r="29" spans="1:23" s="6" customFormat="1" ht="15" customHeight="1">
      <c r="A29" s="103" t="s">
        <v>5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46"/>
      <c r="N29" s="47">
        <f>N27</f>
        <v>19</v>
      </c>
      <c r="O29" s="48">
        <f>O27</f>
        <v>1029</v>
      </c>
      <c r="P29" s="117">
        <f>P27</f>
        <v>0.81928000000000001</v>
      </c>
      <c r="Q29" s="117"/>
      <c r="R29" s="117"/>
      <c r="S29" s="49"/>
      <c r="T29" s="49"/>
      <c r="U29" s="50">
        <f>U27</f>
        <v>180.99999999999997</v>
      </c>
      <c r="V29" s="50">
        <f>V27</f>
        <v>199.99999999999997</v>
      </c>
      <c r="W29" s="5"/>
    </row>
    <row r="30" spans="1:23" ht="15" customHeight="1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</row>
    <row r="31" spans="1:23" s="7" customFormat="1" ht="30" customHeight="1">
      <c r="A31" s="106" t="s">
        <v>10</v>
      </c>
      <c r="B31" s="106"/>
      <c r="C31" s="106"/>
      <c r="D31" s="103" t="str">
        <f>D17</f>
        <v>COLOR</v>
      </c>
      <c r="E31" s="103"/>
      <c r="F31" s="103"/>
      <c r="G31" s="51" t="str">
        <f t="shared" ref="G31:L31" si="7">G18</f>
        <v>S</v>
      </c>
      <c r="H31" s="51" t="str">
        <f t="shared" si="7"/>
        <v>M</v>
      </c>
      <c r="I31" s="51" t="str">
        <f t="shared" si="7"/>
        <v>L</v>
      </c>
      <c r="J31" s="51" t="str">
        <f t="shared" si="7"/>
        <v>XL</v>
      </c>
      <c r="K31" s="51" t="str">
        <f t="shared" si="7"/>
        <v>XXL</v>
      </c>
      <c r="L31" s="51" t="str">
        <f t="shared" si="7"/>
        <v>3XL</v>
      </c>
      <c r="M31" s="103" t="s">
        <v>2</v>
      </c>
      <c r="N31" s="103"/>
      <c r="O31" s="69"/>
      <c r="P31" s="69"/>
      <c r="S31" s="69"/>
      <c r="T31" s="69"/>
      <c r="U31" s="69"/>
      <c r="V31" s="69"/>
    </row>
    <row r="32" spans="1:23" s="7" customFormat="1" ht="24.95" customHeight="1">
      <c r="A32" s="119" t="s">
        <v>12</v>
      </c>
      <c r="B32" s="119"/>
      <c r="C32" s="119"/>
      <c r="D32" s="120" t="str">
        <f>D19</f>
        <v>Jade</v>
      </c>
      <c r="E32" s="121"/>
      <c r="F32" s="121"/>
      <c r="G32" s="64">
        <v>210</v>
      </c>
      <c r="H32" s="64">
        <v>210</v>
      </c>
      <c r="I32" s="64">
        <v>210</v>
      </c>
      <c r="J32" s="64">
        <v>210</v>
      </c>
      <c r="K32" s="64">
        <v>100</v>
      </c>
      <c r="L32" s="64">
        <v>60</v>
      </c>
      <c r="M32" s="122">
        <f>G32+H32+I32+J32+K32+L32</f>
        <v>1000</v>
      </c>
      <c r="N32" s="122"/>
      <c r="O32" s="22"/>
      <c r="P32" s="21"/>
      <c r="S32" s="69"/>
      <c r="T32" s="69"/>
      <c r="U32" s="69"/>
      <c r="V32" s="69"/>
    </row>
    <row r="33" spans="1:22" s="7" customFormat="1" ht="24.95" customHeight="1">
      <c r="A33" s="119" t="s">
        <v>30</v>
      </c>
      <c r="B33" s="119"/>
      <c r="C33" s="119"/>
      <c r="D33" s="121"/>
      <c r="E33" s="121"/>
      <c r="F33" s="121"/>
      <c r="G33" s="64">
        <f t="shared" ref="G33:K33" si="8">G27</f>
        <v>214</v>
      </c>
      <c r="H33" s="64">
        <f t="shared" si="8"/>
        <v>217</v>
      </c>
      <c r="I33" s="64">
        <f t="shared" si="8"/>
        <v>218</v>
      </c>
      <c r="J33" s="64">
        <f t="shared" si="8"/>
        <v>215</v>
      </c>
      <c r="K33" s="64">
        <f t="shared" si="8"/>
        <v>102</v>
      </c>
      <c r="L33" s="64">
        <f>L27</f>
        <v>63</v>
      </c>
      <c r="M33" s="122">
        <f>G33+H33+I33+J33+K33+L33</f>
        <v>1029</v>
      </c>
      <c r="N33" s="122"/>
      <c r="O33" s="22"/>
      <c r="P33" s="21"/>
      <c r="S33" s="69"/>
      <c r="T33" s="69"/>
      <c r="U33" s="69"/>
      <c r="V33" s="69"/>
    </row>
  </sheetData>
  <mergeCells count="40">
    <mergeCell ref="A32:C32"/>
    <mergeCell ref="D32:F33"/>
    <mergeCell ref="M32:N32"/>
    <mergeCell ref="A33:C33"/>
    <mergeCell ref="M33:N33"/>
    <mergeCell ref="A28:V28"/>
    <mergeCell ref="A29:L29"/>
    <mergeCell ref="P29:R29"/>
    <mergeCell ref="A30:V30"/>
    <mergeCell ref="A31:C31"/>
    <mergeCell ref="D31:F31"/>
    <mergeCell ref="M31:N31"/>
    <mergeCell ref="D19:F26"/>
    <mergeCell ref="P19:P26"/>
    <mergeCell ref="Q19:Q26"/>
    <mergeCell ref="R19:R26"/>
    <mergeCell ref="A27:F27"/>
    <mergeCell ref="P27:R27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12700-5DE5-4DE2-976A-E17CCADC2EF7}">
  <sheetPr>
    <tabColor theme="7" tint="-0.249977111117893"/>
    <pageSetUpPr fitToPage="1"/>
  </sheetPr>
  <dimension ref="A1:W33"/>
  <sheetViews>
    <sheetView showGridLines="0" view="pageBreakPreview" topLeftCell="A18" zoomScaleNormal="62" zoomScaleSheetLayoutView="100" workbookViewId="0">
      <selection activeCell="R30" sqref="R30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84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235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236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2100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M33</f>
        <v>2123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23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N29</f>
        <v>40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88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86" t="s">
        <v>22</v>
      </c>
      <c r="J18" s="86" t="s">
        <v>93</v>
      </c>
      <c r="K18" s="86" t="s">
        <v>94</v>
      </c>
      <c r="L18" s="86" t="s">
        <v>95</v>
      </c>
      <c r="M18" s="106"/>
      <c r="N18" s="106"/>
      <c r="O18" s="106"/>
      <c r="P18" s="88" t="s">
        <v>22</v>
      </c>
      <c r="Q18" s="88" t="s">
        <v>23</v>
      </c>
      <c r="R18" s="88" t="s">
        <v>24</v>
      </c>
      <c r="S18" s="87" t="s">
        <v>6</v>
      </c>
      <c r="T18" s="87" t="s">
        <v>7</v>
      </c>
      <c r="U18" s="87" t="s">
        <v>8</v>
      </c>
      <c r="V18" s="87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6</v>
      </c>
      <c r="D19" s="109" t="s">
        <v>137</v>
      </c>
      <c r="E19" s="109"/>
      <c r="F19" s="109"/>
      <c r="G19" s="17">
        <v>60</v>
      </c>
      <c r="H19" s="18"/>
      <c r="I19" s="18"/>
      <c r="J19" s="19"/>
      <c r="K19" s="19"/>
      <c r="L19" s="19"/>
      <c r="M19" s="18">
        <f t="shared" ref="M19:M26" si="0">SUM(G19:L19)</f>
        <v>60</v>
      </c>
      <c r="N19" s="20">
        <v>6</v>
      </c>
      <c r="O19" s="28">
        <f t="shared" ref="O19:O26" si="1">M19*N19</f>
        <v>360</v>
      </c>
      <c r="P19" s="110">
        <v>55</v>
      </c>
      <c r="Q19" s="110">
        <v>35</v>
      </c>
      <c r="R19" s="111">
        <v>26</v>
      </c>
      <c r="S19" s="39">
        <v>10.7</v>
      </c>
      <c r="T19" s="39">
        <f>S19+1.2</f>
        <v>11.899999999999999</v>
      </c>
      <c r="U19" s="39">
        <f t="shared" ref="U19:U26" si="2">S19*N19</f>
        <v>64.199999999999989</v>
      </c>
      <c r="V19" s="39">
        <f t="shared" ref="V19:V26" si="3">T19*N19</f>
        <v>71.399999999999991</v>
      </c>
      <c r="W19" s="3"/>
    </row>
    <row r="20" spans="1:23" s="4" customFormat="1" ht="18" customHeight="1">
      <c r="A20" s="25">
        <f>C19+1</f>
        <v>7</v>
      </c>
      <c r="B20" s="26" t="s">
        <v>25</v>
      </c>
      <c r="C20" s="25">
        <f>C19+N20</f>
        <v>14</v>
      </c>
      <c r="D20" s="109"/>
      <c r="E20" s="109"/>
      <c r="F20" s="109"/>
      <c r="G20" s="17"/>
      <c r="H20" s="18">
        <v>60</v>
      </c>
      <c r="I20" s="18"/>
      <c r="J20" s="19"/>
      <c r="K20" s="19"/>
      <c r="L20" s="19"/>
      <c r="M20" s="18">
        <f t="shared" si="0"/>
        <v>60</v>
      </c>
      <c r="N20" s="20">
        <v>8</v>
      </c>
      <c r="O20" s="28">
        <f t="shared" si="1"/>
        <v>480</v>
      </c>
      <c r="P20" s="110"/>
      <c r="Q20" s="110"/>
      <c r="R20" s="111"/>
      <c r="S20" s="39">
        <v>11.5</v>
      </c>
      <c r="T20" s="39">
        <f t="shared" ref="T20:T26" si="4">S20+1.2</f>
        <v>12.7</v>
      </c>
      <c r="U20" s="39">
        <f t="shared" si="2"/>
        <v>92</v>
      </c>
      <c r="V20" s="39">
        <f t="shared" si="3"/>
        <v>101.6</v>
      </c>
      <c r="W20" s="3"/>
    </row>
    <row r="21" spans="1:23" s="4" customFormat="1" ht="18" customHeight="1">
      <c r="A21" s="25">
        <f t="shared" ref="A21:A26" si="5">C20+1</f>
        <v>15</v>
      </c>
      <c r="B21" s="26" t="s">
        <v>25</v>
      </c>
      <c r="C21" s="25">
        <f>C20+N21</f>
        <v>23</v>
      </c>
      <c r="D21" s="109"/>
      <c r="E21" s="109"/>
      <c r="F21" s="109"/>
      <c r="G21" s="17"/>
      <c r="H21" s="18"/>
      <c r="I21" s="18">
        <v>50</v>
      </c>
      <c r="J21" s="19"/>
      <c r="K21" s="19"/>
      <c r="L21" s="19"/>
      <c r="M21" s="18">
        <f t="shared" si="0"/>
        <v>50</v>
      </c>
      <c r="N21" s="20">
        <v>9</v>
      </c>
      <c r="O21" s="28">
        <f t="shared" si="1"/>
        <v>450</v>
      </c>
      <c r="P21" s="110"/>
      <c r="Q21" s="110"/>
      <c r="R21" s="111"/>
      <c r="S21" s="39">
        <v>10.199999999999999</v>
      </c>
      <c r="T21" s="39">
        <f t="shared" si="4"/>
        <v>11.399999999999999</v>
      </c>
      <c r="U21" s="39">
        <f t="shared" si="2"/>
        <v>91.8</v>
      </c>
      <c r="V21" s="39">
        <f t="shared" si="3"/>
        <v>102.6</v>
      </c>
      <c r="W21" s="3"/>
    </row>
    <row r="22" spans="1:23" s="4" customFormat="1" ht="18" customHeight="1">
      <c r="A22" s="25">
        <f t="shared" si="5"/>
        <v>24</v>
      </c>
      <c r="B22" s="26" t="s">
        <v>25</v>
      </c>
      <c r="C22" s="25">
        <f>C21+N22</f>
        <v>31</v>
      </c>
      <c r="D22" s="109"/>
      <c r="E22" s="109"/>
      <c r="F22" s="109"/>
      <c r="G22" s="17"/>
      <c r="H22" s="18"/>
      <c r="I22" s="18"/>
      <c r="J22" s="19">
        <v>50</v>
      </c>
      <c r="K22" s="19"/>
      <c r="L22" s="19"/>
      <c r="M22" s="18">
        <f t="shared" si="0"/>
        <v>50</v>
      </c>
      <c r="N22" s="20">
        <v>8</v>
      </c>
      <c r="O22" s="28">
        <f t="shared" si="1"/>
        <v>400</v>
      </c>
      <c r="P22" s="110"/>
      <c r="Q22" s="110"/>
      <c r="R22" s="111"/>
      <c r="S22" s="39">
        <v>10.9</v>
      </c>
      <c r="T22" s="39">
        <f t="shared" si="4"/>
        <v>12.1</v>
      </c>
      <c r="U22" s="39">
        <f t="shared" si="2"/>
        <v>87.2</v>
      </c>
      <c r="V22" s="39">
        <f t="shared" si="3"/>
        <v>96.8</v>
      </c>
      <c r="W22" s="3"/>
    </row>
    <row r="23" spans="1:23" s="4" customFormat="1" ht="18" customHeight="1">
      <c r="A23" s="25">
        <f t="shared" si="5"/>
        <v>32</v>
      </c>
      <c r="B23" s="26" t="s">
        <v>25</v>
      </c>
      <c r="C23" s="25">
        <f>C22+N23</f>
        <v>37</v>
      </c>
      <c r="D23" s="109"/>
      <c r="E23" s="109"/>
      <c r="F23" s="109"/>
      <c r="G23" s="17"/>
      <c r="H23" s="18"/>
      <c r="I23" s="18"/>
      <c r="J23" s="19"/>
      <c r="K23" s="19">
        <v>45</v>
      </c>
      <c r="L23" s="19"/>
      <c r="M23" s="18">
        <f t="shared" si="0"/>
        <v>45</v>
      </c>
      <c r="N23" s="20">
        <v>6</v>
      </c>
      <c r="O23" s="28">
        <f t="shared" si="1"/>
        <v>270</v>
      </c>
      <c r="P23" s="110"/>
      <c r="Q23" s="110"/>
      <c r="R23" s="111"/>
      <c r="S23" s="39">
        <v>9.4</v>
      </c>
      <c r="T23" s="39">
        <f t="shared" si="4"/>
        <v>10.6</v>
      </c>
      <c r="U23" s="39">
        <f t="shared" si="2"/>
        <v>56.400000000000006</v>
      </c>
      <c r="V23" s="39">
        <f t="shared" si="3"/>
        <v>63.599999999999994</v>
      </c>
      <c r="W23" s="3"/>
    </row>
    <row r="24" spans="1:23" s="4" customFormat="1" ht="18" customHeight="1">
      <c r="A24" s="25">
        <f t="shared" si="5"/>
        <v>38</v>
      </c>
      <c r="B24" s="26" t="s">
        <v>25</v>
      </c>
      <c r="C24" s="25">
        <f t="shared" ref="C24:C26" si="6">C23+N24</f>
        <v>38</v>
      </c>
      <c r="D24" s="109"/>
      <c r="E24" s="109"/>
      <c r="F24" s="109"/>
      <c r="G24" s="17">
        <v>48</v>
      </c>
      <c r="H24" s="18"/>
      <c r="I24" s="18"/>
      <c r="J24" s="19"/>
      <c r="K24" s="19"/>
      <c r="L24" s="19"/>
      <c r="M24" s="18">
        <f t="shared" si="0"/>
        <v>48</v>
      </c>
      <c r="N24" s="20">
        <v>1</v>
      </c>
      <c r="O24" s="28">
        <f t="shared" si="1"/>
        <v>48</v>
      </c>
      <c r="P24" s="110"/>
      <c r="Q24" s="110"/>
      <c r="R24" s="111"/>
      <c r="S24" s="39">
        <v>10</v>
      </c>
      <c r="T24" s="39">
        <f t="shared" si="4"/>
        <v>11.2</v>
      </c>
      <c r="U24" s="39">
        <f t="shared" si="2"/>
        <v>10</v>
      </c>
      <c r="V24" s="39">
        <f t="shared" si="3"/>
        <v>11.2</v>
      </c>
      <c r="W24" s="3"/>
    </row>
    <row r="25" spans="1:23" s="4" customFormat="1" ht="18" customHeight="1">
      <c r="A25" s="25">
        <f t="shared" si="5"/>
        <v>39</v>
      </c>
      <c r="B25" s="26" t="s">
        <v>25</v>
      </c>
      <c r="C25" s="25">
        <f t="shared" si="6"/>
        <v>39</v>
      </c>
      <c r="D25" s="109"/>
      <c r="E25" s="109"/>
      <c r="F25" s="109"/>
      <c r="G25" s="17"/>
      <c r="H25" s="18">
        <v>28</v>
      </c>
      <c r="I25" s="18"/>
      <c r="J25" s="19"/>
      <c r="K25" s="19">
        <v>35</v>
      </c>
      <c r="L25" s="19"/>
      <c r="M25" s="18">
        <f t="shared" si="0"/>
        <v>63</v>
      </c>
      <c r="N25" s="20">
        <v>1</v>
      </c>
      <c r="O25" s="28">
        <f t="shared" si="1"/>
        <v>63</v>
      </c>
      <c r="P25" s="110"/>
      <c r="Q25" s="110"/>
      <c r="R25" s="111"/>
      <c r="S25" s="39">
        <v>10.7</v>
      </c>
      <c r="T25" s="39">
        <f t="shared" si="4"/>
        <v>11.899999999999999</v>
      </c>
      <c r="U25" s="39">
        <f t="shared" si="2"/>
        <v>10.7</v>
      </c>
      <c r="V25" s="39">
        <f t="shared" si="3"/>
        <v>11.899999999999999</v>
      </c>
      <c r="W25" s="3"/>
    </row>
    <row r="26" spans="1:23" s="4" customFormat="1" ht="18" customHeight="1">
      <c r="A26" s="25">
        <f t="shared" si="5"/>
        <v>40</v>
      </c>
      <c r="B26" s="26" t="s">
        <v>25</v>
      </c>
      <c r="C26" s="25">
        <f t="shared" si="6"/>
        <v>40</v>
      </c>
      <c r="D26" s="109"/>
      <c r="E26" s="109"/>
      <c r="F26" s="109"/>
      <c r="G26" s="17"/>
      <c r="H26" s="18"/>
      <c r="I26" s="18">
        <v>38</v>
      </c>
      <c r="J26" s="19">
        <v>14</v>
      </c>
      <c r="K26" s="19"/>
      <c r="L26" s="19"/>
      <c r="M26" s="18">
        <f t="shared" si="0"/>
        <v>52</v>
      </c>
      <c r="N26" s="20">
        <v>1</v>
      </c>
      <c r="O26" s="28">
        <f t="shared" si="1"/>
        <v>52</v>
      </c>
      <c r="P26" s="110"/>
      <c r="Q26" s="110"/>
      <c r="R26" s="111"/>
      <c r="S26" s="39">
        <v>10.199999999999999</v>
      </c>
      <c r="T26" s="39">
        <f t="shared" si="4"/>
        <v>11.399999999999999</v>
      </c>
      <c r="U26" s="39">
        <f t="shared" si="2"/>
        <v>10.199999999999999</v>
      </c>
      <c r="V26" s="39">
        <f t="shared" si="3"/>
        <v>11.399999999999999</v>
      </c>
      <c r="W26" s="3"/>
    </row>
    <row r="27" spans="1:23" s="23" customFormat="1" ht="21.95" customHeight="1">
      <c r="A27" s="112" t="s">
        <v>2</v>
      </c>
      <c r="B27" s="112"/>
      <c r="C27" s="112"/>
      <c r="D27" s="112"/>
      <c r="E27" s="112"/>
      <c r="F27" s="112"/>
      <c r="G27" s="52">
        <f>O19+G24</f>
        <v>408</v>
      </c>
      <c r="H27" s="53">
        <f>O20+H25</f>
        <v>508</v>
      </c>
      <c r="I27" s="53">
        <f>O21+I26</f>
        <v>488</v>
      </c>
      <c r="J27" s="53">
        <f>O22+J26</f>
        <v>414</v>
      </c>
      <c r="K27" s="53">
        <f>O23+K25</f>
        <v>305</v>
      </c>
      <c r="L27" s="53"/>
      <c r="M27" s="54"/>
      <c r="N27" s="55">
        <f>SUM(N19:N26)</f>
        <v>40</v>
      </c>
      <c r="O27" s="56">
        <f>SUM(O19:O26)</f>
        <v>2123</v>
      </c>
      <c r="P27" s="113">
        <f>(P19*Q19*R19)/1000000*N27</f>
        <v>2.0019999999999998</v>
      </c>
      <c r="Q27" s="113"/>
      <c r="R27" s="113"/>
      <c r="S27" s="57"/>
      <c r="T27" s="58"/>
      <c r="U27" s="59">
        <f>SUM(U19:U26)</f>
        <v>422.5</v>
      </c>
      <c r="V27" s="59">
        <f>SUM(V19:V26)</f>
        <v>470.49999999999994</v>
      </c>
    </row>
    <row r="28" spans="1:23" ht="15" customHeight="1">
      <c r="A28" s="114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6"/>
      <c r="W28" s="2"/>
    </row>
    <row r="29" spans="1:23" s="6" customFormat="1" ht="15" customHeight="1">
      <c r="A29" s="103" t="s">
        <v>5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46"/>
      <c r="N29" s="47">
        <f>N27</f>
        <v>40</v>
      </c>
      <c r="O29" s="48">
        <f>O27</f>
        <v>2123</v>
      </c>
      <c r="P29" s="117">
        <f>P27</f>
        <v>2.0019999999999998</v>
      </c>
      <c r="Q29" s="117"/>
      <c r="R29" s="117"/>
      <c r="S29" s="49"/>
      <c r="T29" s="49"/>
      <c r="U29" s="50">
        <f>U27</f>
        <v>422.5</v>
      </c>
      <c r="V29" s="50">
        <f>V27</f>
        <v>470.49999999999994</v>
      </c>
      <c r="W29" s="5"/>
    </row>
    <row r="30" spans="1:23" ht="15" customHeight="1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</row>
    <row r="31" spans="1:23" s="7" customFormat="1" ht="30" customHeight="1">
      <c r="A31" s="106" t="s">
        <v>10</v>
      </c>
      <c r="B31" s="106"/>
      <c r="C31" s="106"/>
      <c r="D31" s="103" t="str">
        <f>D17</f>
        <v>COLOR</v>
      </c>
      <c r="E31" s="103"/>
      <c r="F31" s="103"/>
      <c r="G31" s="51" t="str">
        <f t="shared" ref="G31:L31" si="7">G18</f>
        <v>S</v>
      </c>
      <c r="H31" s="51" t="str">
        <f t="shared" si="7"/>
        <v>M</v>
      </c>
      <c r="I31" s="51" t="str">
        <f t="shared" si="7"/>
        <v>L</v>
      </c>
      <c r="J31" s="51" t="str">
        <f t="shared" si="7"/>
        <v>XL</v>
      </c>
      <c r="K31" s="51" t="str">
        <f t="shared" si="7"/>
        <v>XXL</v>
      </c>
      <c r="L31" s="51" t="str">
        <f t="shared" si="7"/>
        <v>3XL</v>
      </c>
      <c r="M31" s="103" t="s">
        <v>2</v>
      </c>
      <c r="N31" s="103"/>
      <c r="O31" s="85"/>
      <c r="P31" s="85"/>
      <c r="S31" s="85"/>
      <c r="T31" s="85"/>
      <c r="U31" s="85"/>
      <c r="V31" s="85"/>
    </row>
    <row r="32" spans="1:23" s="7" customFormat="1" ht="24.95" customHeight="1">
      <c r="A32" s="119" t="s">
        <v>12</v>
      </c>
      <c r="B32" s="119"/>
      <c r="C32" s="119"/>
      <c r="D32" s="120" t="str">
        <f>D19</f>
        <v>Navy</v>
      </c>
      <c r="E32" s="121"/>
      <c r="F32" s="121"/>
      <c r="G32" s="89">
        <v>400</v>
      </c>
      <c r="H32" s="89">
        <v>500</v>
      </c>
      <c r="I32" s="89">
        <v>500</v>
      </c>
      <c r="J32" s="89">
        <v>400</v>
      </c>
      <c r="K32" s="89">
        <v>300</v>
      </c>
      <c r="L32" s="89"/>
      <c r="M32" s="122">
        <f>G32+H32+I32+J32+K32+L32</f>
        <v>2100</v>
      </c>
      <c r="N32" s="122"/>
      <c r="O32" s="22"/>
      <c r="P32" s="21"/>
      <c r="S32" s="85"/>
      <c r="T32" s="85"/>
      <c r="U32" s="85"/>
      <c r="V32" s="85"/>
    </row>
    <row r="33" spans="1:22" s="7" customFormat="1" ht="24.95" customHeight="1">
      <c r="A33" s="119" t="s">
        <v>30</v>
      </c>
      <c r="B33" s="119"/>
      <c r="C33" s="119"/>
      <c r="D33" s="121"/>
      <c r="E33" s="121"/>
      <c r="F33" s="121"/>
      <c r="G33" s="89">
        <f t="shared" ref="G33:K33" si="8">G27</f>
        <v>408</v>
      </c>
      <c r="H33" s="89">
        <f t="shared" si="8"/>
        <v>508</v>
      </c>
      <c r="I33" s="89">
        <f t="shared" si="8"/>
        <v>488</v>
      </c>
      <c r="J33" s="89">
        <f t="shared" si="8"/>
        <v>414</v>
      </c>
      <c r="K33" s="89">
        <f t="shared" si="8"/>
        <v>305</v>
      </c>
      <c r="L33" s="89"/>
      <c r="M33" s="122">
        <f>G33+H33+I33+J33+K33+L33</f>
        <v>2123</v>
      </c>
      <c r="N33" s="122"/>
      <c r="O33" s="22"/>
      <c r="P33" s="21"/>
      <c r="S33" s="85"/>
      <c r="T33" s="85"/>
      <c r="U33" s="85"/>
      <c r="V33" s="85"/>
    </row>
  </sheetData>
  <mergeCells count="40"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D19:F26"/>
    <mergeCell ref="P19:P26"/>
    <mergeCell ref="Q19:Q26"/>
    <mergeCell ref="R19:R26"/>
    <mergeCell ref="A27:F27"/>
    <mergeCell ref="P27:R27"/>
    <mergeCell ref="A28:V28"/>
    <mergeCell ref="A29:L29"/>
    <mergeCell ref="P29:R29"/>
    <mergeCell ref="A30:V30"/>
    <mergeCell ref="A31:C31"/>
    <mergeCell ref="D31:F31"/>
    <mergeCell ref="M31:N31"/>
    <mergeCell ref="A32:C32"/>
    <mergeCell ref="D32:F33"/>
    <mergeCell ref="M32:N32"/>
    <mergeCell ref="A33:C33"/>
    <mergeCell ref="M33:N33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11FE9-E7B7-4429-8C85-09BB1A922437}">
  <sheetPr>
    <tabColor rgb="FF92D050"/>
    <pageSetUpPr fitToPage="1"/>
  </sheetPr>
  <dimension ref="A1:W31"/>
  <sheetViews>
    <sheetView showGridLines="0" view="pageBreakPreview" topLeftCell="A15" zoomScaleNormal="62" zoomScaleSheetLayoutView="100" workbookViewId="0">
      <selection activeCell="S25" sqref="S25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152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103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1650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M31</f>
        <v>1694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44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N27</f>
        <v>33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88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65" t="s">
        <v>22</v>
      </c>
      <c r="J18" s="65" t="s">
        <v>93</v>
      </c>
      <c r="K18" s="65" t="s">
        <v>94</v>
      </c>
      <c r="L18" s="65" t="s">
        <v>95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6</v>
      </c>
      <c r="D19" s="109" t="s">
        <v>99</v>
      </c>
      <c r="E19" s="109"/>
      <c r="F19" s="109"/>
      <c r="G19" s="17">
        <v>60</v>
      </c>
      <c r="H19" s="18"/>
      <c r="I19" s="18"/>
      <c r="J19" s="19"/>
      <c r="K19" s="19"/>
      <c r="L19" s="19"/>
      <c r="M19" s="18">
        <f t="shared" ref="M19:M24" si="0">SUM(G19:L19)</f>
        <v>60</v>
      </c>
      <c r="N19" s="20">
        <v>6</v>
      </c>
      <c r="O19" s="28">
        <f t="shared" ref="O19:O24" si="1">M19*N19</f>
        <v>360</v>
      </c>
      <c r="P19" s="110">
        <v>55</v>
      </c>
      <c r="Q19" s="110">
        <v>35</v>
      </c>
      <c r="R19" s="111">
        <v>26</v>
      </c>
      <c r="S19" s="39">
        <v>9.8000000000000007</v>
      </c>
      <c r="T19" s="39">
        <f>S19+1.2</f>
        <v>11</v>
      </c>
      <c r="U19" s="39">
        <f t="shared" ref="U19:U24" si="2">S19*N19</f>
        <v>58.800000000000004</v>
      </c>
      <c r="V19" s="39">
        <f t="shared" ref="V19:V24" si="3">T19*N19</f>
        <v>66</v>
      </c>
      <c r="W19" s="3"/>
    </row>
    <row r="20" spans="1:23" s="4" customFormat="1" ht="18" customHeight="1">
      <c r="A20" s="25">
        <f>C19+1</f>
        <v>7</v>
      </c>
      <c r="B20" s="26" t="s">
        <v>25</v>
      </c>
      <c r="C20" s="25">
        <f>C19+N20</f>
        <v>12</v>
      </c>
      <c r="D20" s="109"/>
      <c r="E20" s="109"/>
      <c r="F20" s="109"/>
      <c r="G20" s="17"/>
      <c r="H20" s="18">
        <v>60</v>
      </c>
      <c r="I20" s="18"/>
      <c r="J20" s="19"/>
      <c r="K20" s="19"/>
      <c r="L20" s="19"/>
      <c r="M20" s="18">
        <f t="shared" si="0"/>
        <v>60</v>
      </c>
      <c r="N20" s="20">
        <v>6</v>
      </c>
      <c r="O20" s="28">
        <f t="shared" si="1"/>
        <v>360</v>
      </c>
      <c r="P20" s="110"/>
      <c r="Q20" s="110"/>
      <c r="R20" s="111"/>
      <c r="S20" s="39">
        <v>10.45</v>
      </c>
      <c r="T20" s="39">
        <f t="shared" ref="T20:T24" si="4">S20+1.2</f>
        <v>11.649999999999999</v>
      </c>
      <c r="U20" s="39">
        <f t="shared" si="2"/>
        <v>62.699999999999996</v>
      </c>
      <c r="V20" s="39">
        <f t="shared" si="3"/>
        <v>69.899999999999991</v>
      </c>
      <c r="W20" s="3"/>
    </row>
    <row r="21" spans="1:23" s="4" customFormat="1" ht="18" customHeight="1">
      <c r="A21" s="25">
        <f t="shared" ref="A21:A24" si="5">C20+1</f>
        <v>13</v>
      </c>
      <c r="B21" s="26" t="s">
        <v>25</v>
      </c>
      <c r="C21" s="25">
        <f>C20+N21</f>
        <v>18</v>
      </c>
      <c r="D21" s="109"/>
      <c r="E21" s="109"/>
      <c r="F21" s="109"/>
      <c r="G21" s="17"/>
      <c r="H21" s="18"/>
      <c r="I21" s="18">
        <v>50</v>
      </c>
      <c r="J21" s="19"/>
      <c r="K21" s="19"/>
      <c r="L21" s="19"/>
      <c r="M21" s="18">
        <f t="shared" si="0"/>
        <v>50</v>
      </c>
      <c r="N21" s="20">
        <v>6</v>
      </c>
      <c r="O21" s="28">
        <f t="shared" si="1"/>
        <v>300</v>
      </c>
      <c r="P21" s="110"/>
      <c r="Q21" s="110"/>
      <c r="R21" s="111"/>
      <c r="S21" s="39">
        <v>9.3000000000000007</v>
      </c>
      <c r="T21" s="39">
        <f t="shared" si="4"/>
        <v>10.5</v>
      </c>
      <c r="U21" s="39">
        <f t="shared" si="2"/>
        <v>55.800000000000004</v>
      </c>
      <c r="V21" s="39">
        <f t="shared" si="3"/>
        <v>63</v>
      </c>
      <c r="W21" s="3"/>
    </row>
    <row r="22" spans="1:23" s="4" customFormat="1" ht="18" customHeight="1">
      <c r="A22" s="25">
        <f t="shared" si="5"/>
        <v>19</v>
      </c>
      <c r="B22" s="26" t="s">
        <v>25</v>
      </c>
      <c r="C22" s="25">
        <f>C21+N22</f>
        <v>26</v>
      </c>
      <c r="D22" s="109"/>
      <c r="E22" s="109"/>
      <c r="F22" s="109"/>
      <c r="G22" s="17"/>
      <c r="H22" s="18"/>
      <c r="I22" s="18"/>
      <c r="J22" s="19">
        <v>50</v>
      </c>
      <c r="K22" s="19"/>
      <c r="L22" s="19"/>
      <c r="M22" s="18">
        <f t="shared" si="0"/>
        <v>50</v>
      </c>
      <c r="N22" s="20">
        <v>8</v>
      </c>
      <c r="O22" s="28">
        <f t="shared" si="1"/>
        <v>400</v>
      </c>
      <c r="P22" s="110"/>
      <c r="Q22" s="110"/>
      <c r="R22" s="111"/>
      <c r="S22" s="39">
        <v>10.8</v>
      </c>
      <c r="T22" s="39">
        <f t="shared" si="4"/>
        <v>12</v>
      </c>
      <c r="U22" s="39">
        <f t="shared" si="2"/>
        <v>86.4</v>
      </c>
      <c r="V22" s="39">
        <f t="shared" si="3"/>
        <v>96</v>
      </c>
      <c r="W22" s="3"/>
    </row>
    <row r="23" spans="1:23" s="4" customFormat="1" ht="18" customHeight="1">
      <c r="A23" s="25">
        <f t="shared" si="5"/>
        <v>27</v>
      </c>
      <c r="B23" s="26" t="s">
        <v>25</v>
      </c>
      <c r="C23" s="25">
        <f>C22+N23</f>
        <v>32</v>
      </c>
      <c r="D23" s="109"/>
      <c r="E23" s="109"/>
      <c r="F23" s="109"/>
      <c r="G23" s="17"/>
      <c r="H23" s="18"/>
      <c r="I23" s="18"/>
      <c r="J23" s="19"/>
      <c r="K23" s="19">
        <v>40</v>
      </c>
      <c r="L23" s="19"/>
      <c r="M23" s="18">
        <f t="shared" si="0"/>
        <v>40</v>
      </c>
      <c r="N23" s="20">
        <v>6</v>
      </c>
      <c r="O23" s="28">
        <f t="shared" si="1"/>
        <v>240</v>
      </c>
      <c r="P23" s="110"/>
      <c r="Q23" s="110"/>
      <c r="R23" s="111"/>
      <c r="S23" s="39">
        <v>8.1</v>
      </c>
      <c r="T23" s="39">
        <f t="shared" si="4"/>
        <v>9.2999999999999989</v>
      </c>
      <c r="U23" s="39">
        <f t="shared" si="2"/>
        <v>48.599999999999994</v>
      </c>
      <c r="V23" s="39">
        <f t="shared" si="3"/>
        <v>55.8</v>
      </c>
      <c r="W23" s="3"/>
    </row>
    <row r="24" spans="1:23" s="4" customFormat="1" ht="18" customHeight="1">
      <c r="A24" s="25">
        <f t="shared" si="5"/>
        <v>33</v>
      </c>
      <c r="B24" s="26" t="s">
        <v>25</v>
      </c>
      <c r="C24" s="25">
        <f t="shared" ref="C24" si="6">C23+N24</f>
        <v>33</v>
      </c>
      <c r="D24" s="109"/>
      <c r="E24" s="109"/>
      <c r="F24" s="109"/>
      <c r="G24" s="17">
        <v>4</v>
      </c>
      <c r="H24" s="18">
        <v>2</v>
      </c>
      <c r="I24" s="18">
        <v>8</v>
      </c>
      <c r="J24" s="19">
        <v>11</v>
      </c>
      <c r="K24" s="19">
        <v>9</v>
      </c>
      <c r="L24" s="19"/>
      <c r="M24" s="18">
        <f t="shared" si="0"/>
        <v>34</v>
      </c>
      <c r="N24" s="20">
        <v>1</v>
      </c>
      <c r="O24" s="28">
        <f t="shared" si="1"/>
        <v>34</v>
      </c>
      <c r="P24" s="110"/>
      <c r="Q24" s="110"/>
      <c r="R24" s="111"/>
      <c r="S24" s="39">
        <v>7.3</v>
      </c>
      <c r="T24" s="39">
        <f t="shared" si="4"/>
        <v>8.5</v>
      </c>
      <c r="U24" s="39">
        <f t="shared" si="2"/>
        <v>7.3</v>
      </c>
      <c r="V24" s="39">
        <f t="shared" si="3"/>
        <v>8.5</v>
      </c>
      <c r="W24" s="3"/>
    </row>
    <row r="25" spans="1:23" s="23" customFormat="1" ht="21.95" customHeight="1">
      <c r="A25" s="112" t="s">
        <v>2</v>
      </c>
      <c r="B25" s="112"/>
      <c r="C25" s="112"/>
      <c r="D25" s="112"/>
      <c r="E25" s="112"/>
      <c r="F25" s="112"/>
      <c r="G25" s="52">
        <f>O19+G24</f>
        <v>364</v>
      </c>
      <c r="H25" s="53">
        <f>O20+H24</f>
        <v>362</v>
      </c>
      <c r="I25" s="53">
        <f>O21+I24</f>
        <v>308</v>
      </c>
      <c r="J25" s="53">
        <f>O22+J24</f>
        <v>411</v>
      </c>
      <c r="K25" s="53">
        <f>O23+K24</f>
        <v>249</v>
      </c>
      <c r="L25" s="53"/>
      <c r="M25" s="54"/>
      <c r="N25" s="55">
        <f>SUM(N19:N24)</f>
        <v>33</v>
      </c>
      <c r="O25" s="56">
        <f>SUM(O19:O24)</f>
        <v>1694</v>
      </c>
      <c r="P25" s="113">
        <f>(P19*Q19*R19)/1000000*N25</f>
        <v>1.6516499999999998</v>
      </c>
      <c r="Q25" s="113"/>
      <c r="R25" s="113"/>
      <c r="S25" s="57"/>
      <c r="T25" s="58"/>
      <c r="U25" s="59">
        <f>SUM(U19:U24)</f>
        <v>319.60000000000008</v>
      </c>
      <c r="V25" s="59">
        <f>SUM(V19:V24)</f>
        <v>359.2</v>
      </c>
    </row>
    <row r="26" spans="1:23" ht="15" customHeight="1">
      <c r="A26" s="114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6"/>
      <c r="W26" s="2"/>
    </row>
    <row r="27" spans="1:23" s="6" customFormat="1" ht="15" customHeight="1">
      <c r="A27" s="103" t="s">
        <v>5</v>
      </c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46"/>
      <c r="N27" s="47">
        <f>N25</f>
        <v>33</v>
      </c>
      <c r="O27" s="48">
        <f>O25</f>
        <v>1694</v>
      </c>
      <c r="P27" s="117">
        <f>P25</f>
        <v>1.6516499999999998</v>
      </c>
      <c r="Q27" s="117"/>
      <c r="R27" s="117"/>
      <c r="S27" s="49"/>
      <c r="T27" s="49"/>
      <c r="U27" s="50">
        <f>U25</f>
        <v>319.60000000000008</v>
      </c>
      <c r="V27" s="50">
        <f>V25</f>
        <v>359.2</v>
      </c>
      <c r="W27" s="5"/>
    </row>
    <row r="28" spans="1:23" ht="15" customHeight="1">
      <c r="A28" s="118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</row>
    <row r="29" spans="1:23" s="7" customFormat="1" ht="30" customHeight="1">
      <c r="A29" s="106" t="s">
        <v>10</v>
      </c>
      <c r="B29" s="106"/>
      <c r="C29" s="106"/>
      <c r="D29" s="103" t="str">
        <f>D17</f>
        <v>COLOR</v>
      </c>
      <c r="E29" s="103"/>
      <c r="F29" s="103"/>
      <c r="G29" s="51" t="str">
        <f t="shared" ref="G29:L29" si="7">G18</f>
        <v>S</v>
      </c>
      <c r="H29" s="51" t="str">
        <f t="shared" si="7"/>
        <v>M</v>
      </c>
      <c r="I29" s="51" t="str">
        <f t="shared" si="7"/>
        <v>L</v>
      </c>
      <c r="J29" s="51" t="str">
        <f t="shared" si="7"/>
        <v>XL</v>
      </c>
      <c r="K29" s="51" t="str">
        <f t="shared" si="7"/>
        <v>XXL</v>
      </c>
      <c r="L29" s="51" t="str">
        <f t="shared" si="7"/>
        <v>3XL</v>
      </c>
      <c r="M29" s="103" t="s">
        <v>2</v>
      </c>
      <c r="N29" s="103"/>
      <c r="O29" s="69"/>
      <c r="P29" s="69"/>
      <c r="S29" s="69"/>
      <c r="T29" s="69"/>
      <c r="U29" s="69"/>
      <c r="V29" s="69"/>
    </row>
    <row r="30" spans="1:23" s="7" customFormat="1" ht="24.95" customHeight="1">
      <c r="A30" s="119" t="s">
        <v>12</v>
      </c>
      <c r="B30" s="119"/>
      <c r="C30" s="119"/>
      <c r="D30" s="120" t="str">
        <f>D19</f>
        <v>Black</v>
      </c>
      <c r="E30" s="121"/>
      <c r="F30" s="121"/>
      <c r="G30" s="64">
        <v>350</v>
      </c>
      <c r="H30" s="64">
        <v>350</v>
      </c>
      <c r="I30" s="64">
        <v>300</v>
      </c>
      <c r="J30" s="64">
        <v>400</v>
      </c>
      <c r="K30" s="64">
        <v>250</v>
      </c>
      <c r="L30" s="64"/>
      <c r="M30" s="122">
        <f>G30+H30+I30+J30+K30+L30</f>
        <v>1650</v>
      </c>
      <c r="N30" s="122"/>
      <c r="O30" s="22"/>
      <c r="P30" s="21"/>
      <c r="S30" s="69"/>
      <c r="T30" s="69"/>
      <c r="U30" s="69"/>
      <c r="V30" s="69"/>
    </row>
    <row r="31" spans="1:23" s="7" customFormat="1" ht="24.95" customHeight="1">
      <c r="A31" s="119" t="s">
        <v>30</v>
      </c>
      <c r="B31" s="119"/>
      <c r="C31" s="119"/>
      <c r="D31" s="121"/>
      <c r="E31" s="121"/>
      <c r="F31" s="121"/>
      <c r="G31" s="64">
        <f t="shared" ref="G31:K31" si="8">G25</f>
        <v>364</v>
      </c>
      <c r="H31" s="64">
        <f t="shared" si="8"/>
        <v>362</v>
      </c>
      <c r="I31" s="64">
        <f t="shared" si="8"/>
        <v>308</v>
      </c>
      <c r="J31" s="64">
        <f t="shared" si="8"/>
        <v>411</v>
      </c>
      <c r="K31" s="64">
        <f t="shared" si="8"/>
        <v>249</v>
      </c>
      <c r="L31" s="64"/>
      <c r="M31" s="122">
        <f>G31+H31+I31+J31+K31+L31</f>
        <v>1694</v>
      </c>
      <c r="N31" s="122"/>
      <c r="O31" s="22"/>
      <c r="P31" s="21"/>
      <c r="S31" s="69"/>
      <c r="T31" s="69"/>
      <c r="U31" s="69"/>
      <c r="V31" s="69"/>
    </row>
  </sheetData>
  <mergeCells count="40">
    <mergeCell ref="A30:C30"/>
    <mergeCell ref="D30:F31"/>
    <mergeCell ref="M30:N30"/>
    <mergeCell ref="A31:C31"/>
    <mergeCell ref="M31:N31"/>
    <mergeCell ref="A26:V26"/>
    <mergeCell ref="A27:L27"/>
    <mergeCell ref="P27:R27"/>
    <mergeCell ref="A28:V28"/>
    <mergeCell ref="A29:C29"/>
    <mergeCell ref="D29:F29"/>
    <mergeCell ref="M29:N29"/>
    <mergeCell ref="D19:F24"/>
    <mergeCell ref="P19:P24"/>
    <mergeCell ref="Q19:Q24"/>
    <mergeCell ref="R19:R24"/>
    <mergeCell ref="A25:F25"/>
    <mergeCell ref="P25:R25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8AD5A-9535-4DF1-BD4C-AEA6694CC172}">
  <sheetPr>
    <tabColor rgb="FF92D050"/>
    <pageSetUpPr fitToPage="1"/>
  </sheetPr>
  <dimension ref="A1:W31"/>
  <sheetViews>
    <sheetView showGridLines="0" view="pageBreakPreview" topLeftCell="A13" zoomScaleNormal="62" zoomScaleSheetLayoutView="100" workbookViewId="0">
      <selection activeCell="S30" sqref="S30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153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154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1500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M31</f>
        <v>1531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31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N27</f>
        <v>30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88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65" t="s">
        <v>22</v>
      </c>
      <c r="J18" s="65" t="s">
        <v>93</v>
      </c>
      <c r="K18" s="65" t="s">
        <v>94</v>
      </c>
      <c r="L18" s="65" t="s">
        <v>95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5</v>
      </c>
      <c r="D19" s="109" t="s">
        <v>155</v>
      </c>
      <c r="E19" s="109"/>
      <c r="F19" s="109"/>
      <c r="G19" s="17">
        <v>60</v>
      </c>
      <c r="H19" s="18"/>
      <c r="I19" s="18"/>
      <c r="J19" s="19"/>
      <c r="K19" s="19"/>
      <c r="L19" s="19"/>
      <c r="M19" s="18">
        <f t="shared" ref="M19:M24" si="0">SUM(G19:L19)</f>
        <v>60</v>
      </c>
      <c r="N19" s="20">
        <v>5</v>
      </c>
      <c r="O19" s="28">
        <f t="shared" ref="O19:O24" si="1">M19*N19</f>
        <v>300</v>
      </c>
      <c r="P19" s="110">
        <v>55</v>
      </c>
      <c r="Q19" s="110">
        <v>35</v>
      </c>
      <c r="R19" s="111">
        <v>26</v>
      </c>
      <c r="S19" s="39">
        <v>8.4499999999999993</v>
      </c>
      <c r="T19" s="39">
        <f>S19+1.2</f>
        <v>9.6499999999999986</v>
      </c>
      <c r="U19" s="39">
        <f t="shared" ref="U19:U24" si="2">S19*N19</f>
        <v>42.25</v>
      </c>
      <c r="V19" s="39">
        <f t="shared" ref="V19:V24" si="3">T19*N19</f>
        <v>48.249999999999993</v>
      </c>
      <c r="W19" s="3"/>
    </row>
    <row r="20" spans="1:23" s="4" customFormat="1" ht="18" customHeight="1">
      <c r="A20" s="25">
        <f>C19+1</f>
        <v>6</v>
      </c>
      <c r="B20" s="26" t="s">
        <v>25</v>
      </c>
      <c r="C20" s="25">
        <f>C19+N20</f>
        <v>11</v>
      </c>
      <c r="D20" s="109"/>
      <c r="E20" s="109"/>
      <c r="F20" s="109"/>
      <c r="G20" s="17"/>
      <c r="H20" s="18">
        <v>60</v>
      </c>
      <c r="I20" s="18"/>
      <c r="J20" s="19"/>
      <c r="K20" s="19"/>
      <c r="L20" s="19"/>
      <c r="M20" s="18">
        <f t="shared" si="0"/>
        <v>60</v>
      </c>
      <c r="N20" s="20">
        <v>6</v>
      </c>
      <c r="O20" s="28">
        <f t="shared" si="1"/>
        <v>360</v>
      </c>
      <c r="P20" s="110"/>
      <c r="Q20" s="110"/>
      <c r="R20" s="111"/>
      <c r="S20" s="39">
        <v>9.15</v>
      </c>
      <c r="T20" s="39">
        <f t="shared" ref="T20:T24" si="4">S20+1.2</f>
        <v>10.35</v>
      </c>
      <c r="U20" s="39">
        <f t="shared" si="2"/>
        <v>54.900000000000006</v>
      </c>
      <c r="V20" s="39">
        <f t="shared" si="3"/>
        <v>62.099999999999994</v>
      </c>
      <c r="W20" s="3"/>
    </row>
    <row r="21" spans="1:23" s="4" customFormat="1" ht="18" customHeight="1">
      <c r="A21" s="25">
        <f t="shared" ref="A21:A24" si="5">C20+1</f>
        <v>12</v>
      </c>
      <c r="B21" s="26" t="s">
        <v>25</v>
      </c>
      <c r="C21" s="25">
        <f>C20+N21</f>
        <v>18</v>
      </c>
      <c r="D21" s="109"/>
      <c r="E21" s="109"/>
      <c r="F21" s="109"/>
      <c r="G21" s="17"/>
      <c r="H21" s="18"/>
      <c r="I21" s="18">
        <v>50</v>
      </c>
      <c r="J21" s="19"/>
      <c r="K21" s="19"/>
      <c r="L21" s="19"/>
      <c r="M21" s="18">
        <f t="shared" si="0"/>
        <v>50</v>
      </c>
      <c r="N21" s="20">
        <v>7</v>
      </c>
      <c r="O21" s="28">
        <f t="shared" si="1"/>
        <v>350</v>
      </c>
      <c r="P21" s="110"/>
      <c r="Q21" s="110"/>
      <c r="R21" s="111"/>
      <c r="S21" s="39">
        <v>8.15</v>
      </c>
      <c r="T21" s="39">
        <f t="shared" si="4"/>
        <v>9.35</v>
      </c>
      <c r="U21" s="39">
        <f t="shared" si="2"/>
        <v>57.050000000000004</v>
      </c>
      <c r="V21" s="39">
        <f t="shared" si="3"/>
        <v>65.45</v>
      </c>
      <c r="W21" s="3"/>
    </row>
    <row r="22" spans="1:23" s="4" customFormat="1" ht="18" customHeight="1">
      <c r="A22" s="25">
        <f t="shared" si="5"/>
        <v>19</v>
      </c>
      <c r="B22" s="26" t="s">
        <v>25</v>
      </c>
      <c r="C22" s="25">
        <f>C21+N22</f>
        <v>24</v>
      </c>
      <c r="D22" s="109"/>
      <c r="E22" s="109"/>
      <c r="F22" s="109"/>
      <c r="G22" s="17"/>
      <c r="H22" s="18"/>
      <c r="I22" s="18"/>
      <c r="J22" s="19">
        <v>50</v>
      </c>
      <c r="K22" s="19"/>
      <c r="L22" s="19"/>
      <c r="M22" s="18">
        <f t="shared" si="0"/>
        <v>50</v>
      </c>
      <c r="N22" s="20">
        <v>6</v>
      </c>
      <c r="O22" s="28">
        <f t="shared" si="1"/>
        <v>300</v>
      </c>
      <c r="P22" s="110"/>
      <c r="Q22" s="110"/>
      <c r="R22" s="111"/>
      <c r="S22" s="39">
        <v>8.75</v>
      </c>
      <c r="T22" s="39">
        <f t="shared" si="4"/>
        <v>9.9499999999999993</v>
      </c>
      <c r="U22" s="39">
        <f t="shared" si="2"/>
        <v>52.5</v>
      </c>
      <c r="V22" s="39">
        <f t="shared" si="3"/>
        <v>59.699999999999996</v>
      </c>
      <c r="W22" s="3"/>
    </row>
    <row r="23" spans="1:23" s="4" customFormat="1" ht="18" customHeight="1">
      <c r="A23" s="25">
        <f t="shared" si="5"/>
        <v>25</v>
      </c>
      <c r="B23" s="26" t="s">
        <v>25</v>
      </c>
      <c r="C23" s="25">
        <f>C22+N23</f>
        <v>29</v>
      </c>
      <c r="D23" s="109"/>
      <c r="E23" s="109"/>
      <c r="F23" s="109"/>
      <c r="G23" s="17"/>
      <c r="H23" s="18"/>
      <c r="I23" s="18"/>
      <c r="J23" s="19"/>
      <c r="K23" s="19">
        <v>40</v>
      </c>
      <c r="L23" s="19"/>
      <c r="M23" s="18">
        <f t="shared" si="0"/>
        <v>40</v>
      </c>
      <c r="N23" s="20">
        <v>5</v>
      </c>
      <c r="O23" s="28">
        <f t="shared" si="1"/>
        <v>200</v>
      </c>
      <c r="P23" s="110"/>
      <c r="Q23" s="110"/>
      <c r="R23" s="111"/>
      <c r="S23" s="39">
        <v>7.45</v>
      </c>
      <c r="T23" s="39">
        <f t="shared" si="4"/>
        <v>8.65</v>
      </c>
      <c r="U23" s="39">
        <f t="shared" si="2"/>
        <v>37.25</v>
      </c>
      <c r="V23" s="39">
        <f t="shared" si="3"/>
        <v>43.25</v>
      </c>
      <c r="W23" s="3"/>
    </row>
    <row r="24" spans="1:23" s="4" customFormat="1" ht="18" customHeight="1">
      <c r="A24" s="25">
        <f t="shared" si="5"/>
        <v>30</v>
      </c>
      <c r="B24" s="26" t="s">
        <v>25</v>
      </c>
      <c r="C24" s="25">
        <f t="shared" ref="C24" si="6">C23+N24</f>
        <v>30</v>
      </c>
      <c r="D24" s="109"/>
      <c r="E24" s="109"/>
      <c r="F24" s="109"/>
      <c r="G24" s="17"/>
      <c r="H24" s="18">
        <v>5</v>
      </c>
      <c r="I24" s="18"/>
      <c r="J24" s="19">
        <v>7</v>
      </c>
      <c r="K24" s="19">
        <v>9</v>
      </c>
      <c r="L24" s="19"/>
      <c r="M24" s="18">
        <f t="shared" si="0"/>
        <v>21</v>
      </c>
      <c r="N24" s="20">
        <v>1</v>
      </c>
      <c r="O24" s="28">
        <f t="shared" si="1"/>
        <v>21</v>
      </c>
      <c r="P24" s="110"/>
      <c r="Q24" s="110"/>
      <c r="R24" s="111"/>
      <c r="S24" s="39">
        <v>4</v>
      </c>
      <c r="T24" s="39">
        <f t="shared" si="4"/>
        <v>5.2</v>
      </c>
      <c r="U24" s="39">
        <f t="shared" si="2"/>
        <v>4</v>
      </c>
      <c r="V24" s="39">
        <f t="shared" si="3"/>
        <v>5.2</v>
      </c>
      <c r="W24" s="3"/>
    </row>
    <row r="25" spans="1:23" s="23" customFormat="1" ht="21.95" customHeight="1">
      <c r="A25" s="112" t="s">
        <v>2</v>
      </c>
      <c r="B25" s="112"/>
      <c r="C25" s="112"/>
      <c r="D25" s="112"/>
      <c r="E25" s="112"/>
      <c r="F25" s="112"/>
      <c r="G25" s="52">
        <f>O19</f>
        <v>300</v>
      </c>
      <c r="H25" s="53">
        <f>O20+H24</f>
        <v>365</v>
      </c>
      <c r="I25" s="53">
        <f>O21</f>
        <v>350</v>
      </c>
      <c r="J25" s="53">
        <f>O22+J24</f>
        <v>307</v>
      </c>
      <c r="K25" s="53">
        <f>O23+K24</f>
        <v>209</v>
      </c>
      <c r="L25" s="53"/>
      <c r="M25" s="54"/>
      <c r="N25" s="55">
        <f>SUM(N19:N24)</f>
        <v>30</v>
      </c>
      <c r="O25" s="56">
        <f>SUM(O19:O24)</f>
        <v>1531</v>
      </c>
      <c r="P25" s="113">
        <f>(P19*Q19*R19)/1000000*N25</f>
        <v>1.5014999999999998</v>
      </c>
      <c r="Q25" s="113"/>
      <c r="R25" s="113"/>
      <c r="S25" s="57"/>
      <c r="T25" s="58"/>
      <c r="U25" s="59">
        <f>SUM(U19:U24)</f>
        <v>247.95000000000002</v>
      </c>
      <c r="V25" s="59">
        <f>SUM(V19:V24)</f>
        <v>283.95</v>
      </c>
    </row>
    <row r="26" spans="1:23" ht="15" customHeight="1">
      <c r="A26" s="114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6"/>
      <c r="W26" s="2"/>
    </row>
    <row r="27" spans="1:23" s="6" customFormat="1" ht="15" customHeight="1">
      <c r="A27" s="103" t="s">
        <v>5</v>
      </c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46"/>
      <c r="N27" s="47">
        <f>N25</f>
        <v>30</v>
      </c>
      <c r="O27" s="48">
        <f>O25</f>
        <v>1531</v>
      </c>
      <c r="P27" s="117">
        <f>P25</f>
        <v>1.5014999999999998</v>
      </c>
      <c r="Q27" s="117"/>
      <c r="R27" s="117"/>
      <c r="S27" s="49"/>
      <c r="T27" s="49"/>
      <c r="U27" s="50">
        <f>U25</f>
        <v>247.95000000000002</v>
      </c>
      <c r="V27" s="50">
        <f>V25</f>
        <v>283.95</v>
      </c>
      <c r="W27" s="5"/>
    </row>
    <row r="28" spans="1:23" ht="15" customHeight="1">
      <c r="A28" s="118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</row>
    <row r="29" spans="1:23" s="7" customFormat="1" ht="30" customHeight="1">
      <c r="A29" s="106" t="s">
        <v>10</v>
      </c>
      <c r="B29" s="106"/>
      <c r="C29" s="106"/>
      <c r="D29" s="103" t="str">
        <f>D17</f>
        <v>COLOR</v>
      </c>
      <c r="E29" s="103"/>
      <c r="F29" s="103"/>
      <c r="G29" s="51" t="str">
        <f t="shared" ref="G29:L29" si="7">G18</f>
        <v>S</v>
      </c>
      <c r="H29" s="51" t="str">
        <f t="shared" si="7"/>
        <v>M</v>
      </c>
      <c r="I29" s="51" t="str">
        <f t="shared" si="7"/>
        <v>L</v>
      </c>
      <c r="J29" s="51" t="str">
        <f t="shared" si="7"/>
        <v>XL</v>
      </c>
      <c r="K29" s="51" t="str">
        <f t="shared" si="7"/>
        <v>XXL</v>
      </c>
      <c r="L29" s="51" t="str">
        <f t="shared" si="7"/>
        <v>3XL</v>
      </c>
      <c r="M29" s="103" t="s">
        <v>2</v>
      </c>
      <c r="N29" s="103"/>
      <c r="O29" s="69"/>
      <c r="P29" s="69"/>
      <c r="S29" s="69"/>
      <c r="T29" s="69"/>
      <c r="U29" s="69"/>
      <c r="V29" s="69"/>
    </row>
    <row r="30" spans="1:23" s="7" customFormat="1" ht="24.95" customHeight="1">
      <c r="A30" s="119" t="s">
        <v>12</v>
      </c>
      <c r="B30" s="119"/>
      <c r="C30" s="119"/>
      <c r="D30" s="120" t="str">
        <f>D19</f>
        <v>Vintage Green</v>
      </c>
      <c r="E30" s="121"/>
      <c r="F30" s="121"/>
      <c r="G30" s="64">
        <v>300</v>
      </c>
      <c r="H30" s="64">
        <v>350</v>
      </c>
      <c r="I30" s="64">
        <v>350</v>
      </c>
      <c r="J30" s="64">
        <v>300</v>
      </c>
      <c r="K30" s="64">
        <v>200</v>
      </c>
      <c r="L30" s="64"/>
      <c r="M30" s="122">
        <f>G30+H30+I30+J30+K30+L30</f>
        <v>1500</v>
      </c>
      <c r="N30" s="122"/>
      <c r="O30" s="22"/>
      <c r="P30" s="21"/>
      <c r="S30" s="69"/>
      <c r="T30" s="69"/>
      <c r="U30" s="69"/>
      <c r="V30" s="69"/>
    </row>
    <row r="31" spans="1:23" s="7" customFormat="1" ht="24.95" customHeight="1">
      <c r="A31" s="119" t="s">
        <v>30</v>
      </c>
      <c r="B31" s="119"/>
      <c r="C31" s="119"/>
      <c r="D31" s="121"/>
      <c r="E31" s="121"/>
      <c r="F31" s="121"/>
      <c r="G31" s="64">
        <f t="shared" ref="G31:K31" si="8">G25</f>
        <v>300</v>
      </c>
      <c r="H31" s="64">
        <f t="shared" si="8"/>
        <v>365</v>
      </c>
      <c r="I31" s="64">
        <f t="shared" si="8"/>
        <v>350</v>
      </c>
      <c r="J31" s="64">
        <f t="shared" si="8"/>
        <v>307</v>
      </c>
      <c r="K31" s="64">
        <f t="shared" si="8"/>
        <v>209</v>
      </c>
      <c r="L31" s="64"/>
      <c r="M31" s="122">
        <f>G31+H31+I31+J31+K31+L31</f>
        <v>1531</v>
      </c>
      <c r="N31" s="122"/>
      <c r="O31" s="22"/>
      <c r="P31" s="21"/>
      <c r="S31" s="69"/>
      <c r="T31" s="69"/>
      <c r="U31" s="69"/>
      <c r="V31" s="69"/>
    </row>
  </sheetData>
  <mergeCells count="40">
    <mergeCell ref="A30:C30"/>
    <mergeCell ref="D30:F31"/>
    <mergeCell ref="M30:N30"/>
    <mergeCell ref="A31:C31"/>
    <mergeCell ref="M31:N31"/>
    <mergeCell ref="A26:V26"/>
    <mergeCell ref="A27:L27"/>
    <mergeCell ref="P27:R27"/>
    <mergeCell ref="A28:V28"/>
    <mergeCell ref="A29:C29"/>
    <mergeCell ref="D29:F29"/>
    <mergeCell ref="M29:N29"/>
    <mergeCell ref="D19:F24"/>
    <mergeCell ref="P19:P24"/>
    <mergeCell ref="Q19:Q24"/>
    <mergeCell ref="R19:R24"/>
    <mergeCell ref="A25:F25"/>
    <mergeCell ref="P25:R25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BDC83-23B8-40A5-9F33-685682619A90}">
  <sheetPr>
    <tabColor theme="9" tint="-0.249977111117893"/>
    <pageSetUpPr fitToPage="1"/>
  </sheetPr>
  <dimension ref="A1:W34"/>
  <sheetViews>
    <sheetView showGridLines="0" view="pageBreakPreview" topLeftCell="A18" zoomScaleNormal="62" zoomScaleSheetLayoutView="100" workbookViewId="0">
      <selection activeCell="Q32" sqref="Q32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156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102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1860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M34</f>
        <v>1904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44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N30</f>
        <v>34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88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65" t="s">
        <v>22</v>
      </c>
      <c r="J18" s="65" t="s">
        <v>93</v>
      </c>
      <c r="K18" s="65" t="s">
        <v>94</v>
      </c>
      <c r="L18" s="65" t="s">
        <v>95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7</v>
      </c>
      <c r="D19" s="109" t="s">
        <v>104</v>
      </c>
      <c r="E19" s="109"/>
      <c r="F19" s="109"/>
      <c r="G19" s="17">
        <v>60</v>
      </c>
      <c r="H19" s="18"/>
      <c r="I19" s="18"/>
      <c r="J19" s="19"/>
      <c r="K19" s="19"/>
      <c r="L19" s="19"/>
      <c r="M19" s="18">
        <f t="shared" ref="M19:M27" si="0">SUM(G19:L19)</f>
        <v>60</v>
      </c>
      <c r="N19" s="20">
        <v>7</v>
      </c>
      <c r="O19" s="28">
        <f t="shared" ref="O19:O27" si="1">M19*N19</f>
        <v>420</v>
      </c>
      <c r="P19" s="110">
        <v>55</v>
      </c>
      <c r="Q19" s="110">
        <v>35</v>
      </c>
      <c r="R19" s="111">
        <v>26</v>
      </c>
      <c r="S19" s="39">
        <v>9.1</v>
      </c>
      <c r="T19" s="39">
        <f>S19+1.2</f>
        <v>10.299999999999999</v>
      </c>
      <c r="U19" s="39">
        <f t="shared" ref="U19:U27" si="2">S19*N19</f>
        <v>63.699999999999996</v>
      </c>
      <c r="V19" s="39">
        <f t="shared" ref="V19:V27" si="3">T19*N19</f>
        <v>72.099999999999994</v>
      </c>
      <c r="W19" s="3"/>
    </row>
    <row r="20" spans="1:23" s="4" customFormat="1" ht="18" customHeight="1">
      <c r="A20" s="25">
        <f>C19+1</f>
        <v>8</v>
      </c>
      <c r="B20" s="26" t="s">
        <v>25</v>
      </c>
      <c r="C20" s="25">
        <f>C19+N20</f>
        <v>13</v>
      </c>
      <c r="D20" s="109"/>
      <c r="E20" s="109"/>
      <c r="F20" s="109"/>
      <c r="G20" s="17"/>
      <c r="H20" s="18">
        <v>60</v>
      </c>
      <c r="I20" s="18"/>
      <c r="J20" s="19"/>
      <c r="K20" s="19"/>
      <c r="L20" s="19"/>
      <c r="M20" s="18">
        <f t="shared" si="0"/>
        <v>60</v>
      </c>
      <c r="N20" s="20">
        <v>6</v>
      </c>
      <c r="O20" s="28">
        <f t="shared" si="1"/>
        <v>360</v>
      </c>
      <c r="P20" s="110"/>
      <c r="Q20" s="110"/>
      <c r="R20" s="111"/>
      <c r="S20" s="39">
        <v>9.5</v>
      </c>
      <c r="T20" s="39">
        <f t="shared" ref="T20:T27" si="4">S20+1.2</f>
        <v>10.7</v>
      </c>
      <c r="U20" s="39">
        <f t="shared" si="2"/>
        <v>57</v>
      </c>
      <c r="V20" s="39">
        <f t="shared" si="3"/>
        <v>64.199999999999989</v>
      </c>
      <c r="W20" s="3"/>
    </row>
    <row r="21" spans="1:23" s="4" customFormat="1" ht="18" customHeight="1">
      <c r="A21" s="25">
        <f t="shared" ref="A21:A27" si="5">C20+1</f>
        <v>14</v>
      </c>
      <c r="B21" s="26" t="s">
        <v>25</v>
      </c>
      <c r="C21" s="25">
        <f>C20+N21</f>
        <v>19</v>
      </c>
      <c r="D21" s="109"/>
      <c r="E21" s="109"/>
      <c r="F21" s="109"/>
      <c r="G21" s="17"/>
      <c r="H21" s="18"/>
      <c r="I21" s="18">
        <v>60</v>
      </c>
      <c r="J21" s="19"/>
      <c r="K21" s="19"/>
      <c r="L21" s="19"/>
      <c r="M21" s="18">
        <f t="shared" si="0"/>
        <v>60</v>
      </c>
      <c r="N21" s="20">
        <v>6</v>
      </c>
      <c r="O21" s="28">
        <f t="shared" si="1"/>
        <v>360</v>
      </c>
      <c r="P21" s="110"/>
      <c r="Q21" s="110"/>
      <c r="R21" s="111"/>
      <c r="S21" s="39">
        <v>10.4</v>
      </c>
      <c r="T21" s="39">
        <f t="shared" si="4"/>
        <v>11.6</v>
      </c>
      <c r="U21" s="39">
        <f t="shared" si="2"/>
        <v>62.400000000000006</v>
      </c>
      <c r="V21" s="39">
        <f t="shared" si="3"/>
        <v>69.599999999999994</v>
      </c>
      <c r="W21" s="3"/>
    </row>
    <row r="22" spans="1:23" s="4" customFormat="1" ht="18" customHeight="1">
      <c r="A22" s="25">
        <f t="shared" si="5"/>
        <v>20</v>
      </c>
      <c r="B22" s="26" t="s">
        <v>25</v>
      </c>
      <c r="C22" s="25">
        <f>C21+N22</f>
        <v>25</v>
      </c>
      <c r="D22" s="109"/>
      <c r="E22" s="109"/>
      <c r="F22" s="109"/>
      <c r="G22" s="17"/>
      <c r="H22" s="18"/>
      <c r="I22" s="18"/>
      <c r="J22" s="19">
        <v>55</v>
      </c>
      <c r="K22" s="19"/>
      <c r="L22" s="19"/>
      <c r="M22" s="18">
        <f t="shared" si="0"/>
        <v>55</v>
      </c>
      <c r="N22" s="20">
        <v>6</v>
      </c>
      <c r="O22" s="28">
        <f t="shared" si="1"/>
        <v>330</v>
      </c>
      <c r="P22" s="110"/>
      <c r="Q22" s="110"/>
      <c r="R22" s="111"/>
      <c r="S22" s="39">
        <v>10</v>
      </c>
      <c r="T22" s="39">
        <f t="shared" si="4"/>
        <v>11.2</v>
      </c>
      <c r="U22" s="39">
        <f t="shared" si="2"/>
        <v>60</v>
      </c>
      <c r="V22" s="39">
        <f t="shared" si="3"/>
        <v>67.199999999999989</v>
      </c>
      <c r="W22" s="3"/>
    </row>
    <row r="23" spans="1:23" s="4" customFormat="1" ht="18" customHeight="1">
      <c r="A23" s="25">
        <f t="shared" si="5"/>
        <v>26</v>
      </c>
      <c r="B23" s="26" t="s">
        <v>25</v>
      </c>
      <c r="C23" s="25">
        <f>C22+N23</f>
        <v>30</v>
      </c>
      <c r="D23" s="109"/>
      <c r="E23" s="109"/>
      <c r="F23" s="109"/>
      <c r="G23" s="17"/>
      <c r="H23" s="18"/>
      <c r="I23" s="18"/>
      <c r="J23" s="19"/>
      <c r="K23" s="19">
        <v>50</v>
      </c>
      <c r="L23" s="19"/>
      <c r="M23" s="18">
        <f t="shared" si="0"/>
        <v>50</v>
      </c>
      <c r="N23" s="20">
        <v>5</v>
      </c>
      <c r="O23" s="28">
        <f t="shared" si="1"/>
        <v>250</v>
      </c>
      <c r="P23" s="110"/>
      <c r="Q23" s="110"/>
      <c r="R23" s="111"/>
      <c r="S23" s="39">
        <v>9.6</v>
      </c>
      <c r="T23" s="39">
        <f t="shared" si="4"/>
        <v>10.799999999999999</v>
      </c>
      <c r="U23" s="39">
        <f t="shared" si="2"/>
        <v>48</v>
      </c>
      <c r="V23" s="39">
        <f t="shared" si="3"/>
        <v>53.999999999999993</v>
      </c>
      <c r="W23" s="3"/>
    </row>
    <row r="24" spans="1:23" s="4" customFormat="1" ht="18" customHeight="1">
      <c r="A24" s="25">
        <f t="shared" si="5"/>
        <v>31</v>
      </c>
      <c r="B24" s="26" t="s">
        <v>25</v>
      </c>
      <c r="C24" s="25">
        <f t="shared" ref="C24:C27" si="6">C23+N24</f>
        <v>31</v>
      </c>
      <c r="D24" s="109"/>
      <c r="E24" s="109"/>
      <c r="F24" s="109"/>
      <c r="G24" s="17"/>
      <c r="H24" s="18"/>
      <c r="I24" s="18"/>
      <c r="J24" s="19">
        <v>47</v>
      </c>
      <c r="K24" s="19"/>
      <c r="L24" s="19"/>
      <c r="M24" s="18">
        <f t="shared" si="0"/>
        <v>47</v>
      </c>
      <c r="N24" s="20">
        <v>1</v>
      </c>
      <c r="O24" s="28">
        <f t="shared" si="1"/>
        <v>47</v>
      </c>
      <c r="P24" s="110"/>
      <c r="Q24" s="110"/>
      <c r="R24" s="111"/>
      <c r="S24" s="39">
        <v>8.6</v>
      </c>
      <c r="T24" s="39">
        <f t="shared" si="4"/>
        <v>9.7999999999999989</v>
      </c>
      <c r="U24" s="39">
        <f t="shared" si="2"/>
        <v>8.6</v>
      </c>
      <c r="V24" s="39">
        <f t="shared" si="3"/>
        <v>9.7999999999999989</v>
      </c>
      <c r="W24" s="3"/>
    </row>
    <row r="25" spans="1:23" s="4" customFormat="1" ht="18" customHeight="1">
      <c r="A25" s="25">
        <f t="shared" si="5"/>
        <v>32</v>
      </c>
      <c r="B25" s="26" t="s">
        <v>25</v>
      </c>
      <c r="C25" s="25">
        <f t="shared" si="6"/>
        <v>32</v>
      </c>
      <c r="D25" s="109"/>
      <c r="E25" s="109"/>
      <c r="F25" s="109"/>
      <c r="G25" s="17"/>
      <c r="H25" s="18">
        <v>50</v>
      </c>
      <c r="I25" s="18"/>
      <c r="J25" s="19"/>
      <c r="K25" s="19"/>
      <c r="L25" s="19"/>
      <c r="M25" s="18">
        <f t="shared" si="0"/>
        <v>50</v>
      </c>
      <c r="N25" s="20">
        <v>1</v>
      </c>
      <c r="O25" s="28">
        <f t="shared" si="1"/>
        <v>50</v>
      </c>
      <c r="P25" s="110"/>
      <c r="Q25" s="110"/>
      <c r="R25" s="111"/>
      <c r="S25" s="39">
        <v>8</v>
      </c>
      <c r="T25" s="39">
        <f t="shared" si="4"/>
        <v>9.1999999999999993</v>
      </c>
      <c r="U25" s="39">
        <f t="shared" si="2"/>
        <v>8</v>
      </c>
      <c r="V25" s="39">
        <f t="shared" si="3"/>
        <v>9.1999999999999993</v>
      </c>
      <c r="W25" s="3"/>
    </row>
    <row r="26" spans="1:23" s="4" customFormat="1" ht="18" customHeight="1">
      <c r="A26" s="25">
        <f t="shared" si="5"/>
        <v>33</v>
      </c>
      <c r="B26" s="26" t="s">
        <v>25</v>
      </c>
      <c r="C26" s="25">
        <f t="shared" si="6"/>
        <v>33</v>
      </c>
      <c r="D26" s="109"/>
      <c r="E26" s="109"/>
      <c r="F26" s="109"/>
      <c r="G26" s="17">
        <v>4</v>
      </c>
      <c r="H26" s="18"/>
      <c r="I26" s="18">
        <v>40</v>
      </c>
      <c r="J26" s="19"/>
      <c r="K26" s="19"/>
      <c r="L26" s="19"/>
      <c r="M26" s="18">
        <f t="shared" si="0"/>
        <v>44</v>
      </c>
      <c r="N26" s="20">
        <v>1</v>
      </c>
      <c r="O26" s="28">
        <f t="shared" si="1"/>
        <v>44</v>
      </c>
      <c r="P26" s="110"/>
      <c r="Q26" s="110"/>
      <c r="R26" s="111"/>
      <c r="S26" s="39">
        <v>8.3000000000000007</v>
      </c>
      <c r="T26" s="39">
        <f t="shared" si="4"/>
        <v>9.5</v>
      </c>
      <c r="U26" s="39">
        <f t="shared" si="2"/>
        <v>8.3000000000000007</v>
      </c>
      <c r="V26" s="39">
        <f t="shared" si="3"/>
        <v>9.5</v>
      </c>
      <c r="W26" s="3"/>
    </row>
    <row r="27" spans="1:23" s="4" customFormat="1" ht="18" customHeight="1">
      <c r="A27" s="25">
        <f t="shared" si="5"/>
        <v>34</v>
      </c>
      <c r="B27" s="26" t="s">
        <v>25</v>
      </c>
      <c r="C27" s="25">
        <f t="shared" si="6"/>
        <v>34</v>
      </c>
      <c r="D27" s="109"/>
      <c r="E27" s="109"/>
      <c r="F27" s="109"/>
      <c r="G27" s="17"/>
      <c r="H27" s="18"/>
      <c r="I27" s="18"/>
      <c r="J27" s="19"/>
      <c r="K27" s="19">
        <v>43</v>
      </c>
      <c r="L27" s="19"/>
      <c r="M27" s="18">
        <f t="shared" si="0"/>
        <v>43</v>
      </c>
      <c r="N27" s="20">
        <v>1</v>
      </c>
      <c r="O27" s="28">
        <f t="shared" si="1"/>
        <v>43</v>
      </c>
      <c r="P27" s="110"/>
      <c r="Q27" s="110"/>
      <c r="R27" s="111"/>
      <c r="S27" s="39">
        <v>8.3000000000000007</v>
      </c>
      <c r="T27" s="39">
        <f t="shared" si="4"/>
        <v>9.5</v>
      </c>
      <c r="U27" s="39">
        <f t="shared" si="2"/>
        <v>8.3000000000000007</v>
      </c>
      <c r="V27" s="39">
        <f t="shared" si="3"/>
        <v>9.5</v>
      </c>
      <c r="W27" s="3"/>
    </row>
    <row r="28" spans="1:23" s="23" customFormat="1" ht="21.95" customHeight="1">
      <c r="A28" s="112" t="s">
        <v>2</v>
      </c>
      <c r="B28" s="112"/>
      <c r="C28" s="112"/>
      <c r="D28" s="112"/>
      <c r="E28" s="112"/>
      <c r="F28" s="112"/>
      <c r="G28" s="52">
        <f>O19+G26</f>
        <v>424</v>
      </c>
      <c r="H28" s="53">
        <f>O20+H25</f>
        <v>410</v>
      </c>
      <c r="I28" s="53">
        <f>O21+I26</f>
        <v>400</v>
      </c>
      <c r="J28" s="53">
        <f>O22+J24</f>
        <v>377</v>
      </c>
      <c r="K28" s="53">
        <f>O23+K27</f>
        <v>293</v>
      </c>
      <c r="L28" s="53"/>
      <c r="M28" s="54"/>
      <c r="N28" s="55">
        <f>SUM(N19:N27)</f>
        <v>34</v>
      </c>
      <c r="O28" s="56">
        <f>SUM(O19:O27)</f>
        <v>1904</v>
      </c>
      <c r="P28" s="113">
        <f>(P19*Q19*R19)/1000000*N28</f>
        <v>1.7017</v>
      </c>
      <c r="Q28" s="113"/>
      <c r="R28" s="113"/>
      <c r="S28" s="57"/>
      <c r="T28" s="58"/>
      <c r="U28" s="59">
        <f>SUM(U19:U27)</f>
        <v>324.30000000000007</v>
      </c>
      <c r="V28" s="59">
        <f>SUM(V19:V27)</f>
        <v>365.09999999999997</v>
      </c>
    </row>
    <row r="29" spans="1:23" ht="15" customHeight="1">
      <c r="A29" s="114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6"/>
      <c r="W29" s="2"/>
    </row>
    <row r="30" spans="1:23" s="6" customFormat="1" ht="15" customHeight="1">
      <c r="A30" s="103" t="s">
        <v>5</v>
      </c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46"/>
      <c r="N30" s="47">
        <f>N28</f>
        <v>34</v>
      </c>
      <c r="O30" s="48">
        <f>O28</f>
        <v>1904</v>
      </c>
      <c r="P30" s="117">
        <f>P28</f>
        <v>1.7017</v>
      </c>
      <c r="Q30" s="117"/>
      <c r="R30" s="117"/>
      <c r="S30" s="49"/>
      <c r="T30" s="49"/>
      <c r="U30" s="50">
        <f>U28</f>
        <v>324.30000000000007</v>
      </c>
      <c r="V30" s="50">
        <f>V28</f>
        <v>365.09999999999997</v>
      </c>
      <c r="W30" s="5"/>
    </row>
    <row r="31" spans="1:23" ht="15" customHeight="1">
      <c r="A31" s="118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</row>
    <row r="32" spans="1:23" s="7" customFormat="1" ht="30" customHeight="1">
      <c r="A32" s="106" t="s">
        <v>10</v>
      </c>
      <c r="B32" s="106"/>
      <c r="C32" s="106"/>
      <c r="D32" s="103" t="str">
        <f>D17</f>
        <v>COLOR</v>
      </c>
      <c r="E32" s="103"/>
      <c r="F32" s="103"/>
      <c r="G32" s="51" t="str">
        <f>G18</f>
        <v>S</v>
      </c>
      <c r="H32" s="51" t="str">
        <f>H18</f>
        <v>M</v>
      </c>
      <c r="I32" s="51" t="str">
        <f>I18</f>
        <v>L</v>
      </c>
      <c r="J32" s="51" t="str">
        <f>J18</f>
        <v>XL</v>
      </c>
      <c r="K32" s="51" t="str">
        <f>K18</f>
        <v>XXL</v>
      </c>
      <c r="L32" s="51" t="str">
        <f>L18</f>
        <v>3XL</v>
      </c>
      <c r="M32" s="103" t="s">
        <v>2</v>
      </c>
      <c r="N32" s="103"/>
      <c r="O32" s="69"/>
      <c r="P32" s="69"/>
      <c r="S32" s="69"/>
      <c r="T32" s="69"/>
      <c r="U32" s="69"/>
      <c r="V32" s="69"/>
    </row>
    <row r="33" spans="1:22" s="7" customFormat="1" ht="24.95" customHeight="1">
      <c r="A33" s="119" t="s">
        <v>12</v>
      </c>
      <c r="B33" s="119"/>
      <c r="C33" s="119"/>
      <c r="D33" s="120" t="str">
        <f>D19</f>
        <v>Midnight</v>
      </c>
      <c r="E33" s="121"/>
      <c r="F33" s="121"/>
      <c r="G33" s="64">
        <v>400</v>
      </c>
      <c r="H33" s="64">
        <v>400</v>
      </c>
      <c r="I33" s="64">
        <v>400</v>
      </c>
      <c r="J33" s="64">
        <v>360</v>
      </c>
      <c r="K33" s="64">
        <v>300</v>
      </c>
      <c r="L33" s="64"/>
      <c r="M33" s="122">
        <f>G33+H33+I33+J33+K33+L33</f>
        <v>1860</v>
      </c>
      <c r="N33" s="122"/>
      <c r="O33" s="22"/>
      <c r="P33" s="21"/>
      <c r="S33" s="69"/>
      <c r="T33" s="69"/>
      <c r="U33" s="69"/>
      <c r="V33" s="69"/>
    </row>
    <row r="34" spans="1:22" s="7" customFormat="1" ht="24.95" customHeight="1">
      <c r="A34" s="119" t="s">
        <v>30</v>
      </c>
      <c r="B34" s="119"/>
      <c r="C34" s="119"/>
      <c r="D34" s="121"/>
      <c r="E34" s="121"/>
      <c r="F34" s="121"/>
      <c r="G34" s="64">
        <f t="shared" ref="G34:K34" si="7">G28</f>
        <v>424</v>
      </c>
      <c r="H34" s="64">
        <f t="shared" si="7"/>
        <v>410</v>
      </c>
      <c r="I34" s="64">
        <f t="shared" si="7"/>
        <v>400</v>
      </c>
      <c r="J34" s="64">
        <f t="shared" si="7"/>
        <v>377</v>
      </c>
      <c r="K34" s="64">
        <f t="shared" si="7"/>
        <v>293</v>
      </c>
      <c r="L34" s="64"/>
      <c r="M34" s="122">
        <f>G34+H34+I34+J34+K34+L34</f>
        <v>1904</v>
      </c>
      <c r="N34" s="122"/>
      <c r="O34" s="22"/>
      <c r="P34" s="21"/>
      <c r="S34" s="69"/>
      <c r="T34" s="69"/>
      <c r="U34" s="69"/>
      <c r="V34" s="69"/>
    </row>
  </sheetData>
  <mergeCells count="40">
    <mergeCell ref="A33:C33"/>
    <mergeCell ref="D33:F34"/>
    <mergeCell ref="M33:N33"/>
    <mergeCell ref="A34:C34"/>
    <mergeCell ref="M34:N34"/>
    <mergeCell ref="A29:V29"/>
    <mergeCell ref="A30:L30"/>
    <mergeCell ref="P30:R30"/>
    <mergeCell ref="A31:V31"/>
    <mergeCell ref="A32:C32"/>
    <mergeCell ref="D32:F32"/>
    <mergeCell ref="M32:N32"/>
    <mergeCell ref="D19:F27"/>
    <mergeCell ref="P19:P27"/>
    <mergeCell ref="Q19:Q27"/>
    <mergeCell ref="R19:R27"/>
    <mergeCell ref="A28:F28"/>
    <mergeCell ref="P28:R28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65DF8-B081-4346-AAF4-65A2F906670A}">
  <sheetPr>
    <tabColor rgb="FF92D050"/>
    <pageSetUpPr fitToPage="1"/>
  </sheetPr>
  <dimension ref="A1:W32"/>
  <sheetViews>
    <sheetView showGridLines="0" view="pageBreakPreview" topLeftCell="A13" zoomScaleNormal="62" zoomScaleSheetLayoutView="100" workbookViewId="0">
      <selection activeCell="I21" sqref="I21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157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158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1700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M32</f>
        <v>1735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35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N28</f>
        <v>35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88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65" t="s">
        <v>22</v>
      </c>
      <c r="J18" s="65" t="s">
        <v>93</v>
      </c>
      <c r="K18" s="65" t="s">
        <v>94</v>
      </c>
      <c r="L18" s="65" t="s">
        <v>95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4</v>
      </c>
      <c r="D19" s="109" t="s">
        <v>159</v>
      </c>
      <c r="E19" s="109"/>
      <c r="F19" s="109"/>
      <c r="G19" s="17">
        <v>60</v>
      </c>
      <c r="H19" s="18"/>
      <c r="I19" s="18"/>
      <c r="J19" s="19"/>
      <c r="K19" s="19"/>
      <c r="L19" s="19"/>
      <c r="M19" s="18">
        <f t="shared" ref="M19:M25" si="0">SUM(G19:L19)</f>
        <v>60</v>
      </c>
      <c r="N19" s="20">
        <v>4</v>
      </c>
      <c r="O19" s="28">
        <f t="shared" ref="O19:O25" si="1">M19*N19</f>
        <v>240</v>
      </c>
      <c r="P19" s="110">
        <v>55</v>
      </c>
      <c r="Q19" s="110">
        <v>35</v>
      </c>
      <c r="R19" s="111">
        <v>26</v>
      </c>
      <c r="S19" s="39">
        <v>8.4</v>
      </c>
      <c r="T19" s="39">
        <f>S19+1.2</f>
        <v>9.6</v>
      </c>
      <c r="U19" s="39">
        <f t="shared" ref="U19:U25" si="2">S19*N19</f>
        <v>33.6</v>
      </c>
      <c r="V19" s="39">
        <f t="shared" ref="V19:V25" si="3">T19*N19</f>
        <v>38.4</v>
      </c>
      <c r="W19" s="3"/>
    </row>
    <row r="20" spans="1:23" s="4" customFormat="1" ht="18" customHeight="1">
      <c r="A20" s="25">
        <f>C19+1</f>
        <v>5</v>
      </c>
      <c r="B20" s="26" t="s">
        <v>25</v>
      </c>
      <c r="C20" s="25">
        <f>C19+N20</f>
        <v>9</v>
      </c>
      <c r="D20" s="109"/>
      <c r="E20" s="109"/>
      <c r="F20" s="109"/>
      <c r="G20" s="17"/>
      <c r="H20" s="18">
        <v>60</v>
      </c>
      <c r="I20" s="18"/>
      <c r="J20" s="19"/>
      <c r="K20" s="19"/>
      <c r="L20" s="19"/>
      <c r="M20" s="18">
        <f t="shared" si="0"/>
        <v>60</v>
      </c>
      <c r="N20" s="20">
        <v>5</v>
      </c>
      <c r="O20" s="28">
        <f t="shared" si="1"/>
        <v>300</v>
      </c>
      <c r="P20" s="110"/>
      <c r="Q20" s="110"/>
      <c r="R20" s="111"/>
      <c r="S20" s="39">
        <v>9.1</v>
      </c>
      <c r="T20" s="39">
        <f t="shared" ref="T20:T25" si="4">S20+1.2</f>
        <v>10.299999999999999</v>
      </c>
      <c r="U20" s="39">
        <f t="shared" si="2"/>
        <v>45.5</v>
      </c>
      <c r="V20" s="39">
        <f t="shared" si="3"/>
        <v>51.499999999999993</v>
      </c>
      <c r="W20" s="3"/>
    </row>
    <row r="21" spans="1:23" s="4" customFormat="1" ht="18" customHeight="1">
      <c r="A21" s="25">
        <f t="shared" ref="A21:A25" si="5">C20+1</f>
        <v>10</v>
      </c>
      <c r="B21" s="26" t="s">
        <v>25</v>
      </c>
      <c r="C21" s="25">
        <f>C20+N21</f>
        <v>17</v>
      </c>
      <c r="D21" s="109"/>
      <c r="E21" s="109"/>
      <c r="F21" s="109"/>
      <c r="G21" s="17"/>
      <c r="H21" s="18"/>
      <c r="I21" s="18">
        <v>50</v>
      </c>
      <c r="J21" s="19"/>
      <c r="K21" s="19"/>
      <c r="L21" s="19"/>
      <c r="M21" s="18">
        <f t="shared" si="0"/>
        <v>50</v>
      </c>
      <c r="N21" s="20">
        <v>8</v>
      </c>
      <c r="O21" s="28">
        <f t="shared" si="1"/>
        <v>400</v>
      </c>
      <c r="P21" s="110"/>
      <c r="Q21" s="110"/>
      <c r="R21" s="111"/>
      <c r="S21" s="39">
        <v>8</v>
      </c>
      <c r="T21" s="39">
        <f t="shared" si="4"/>
        <v>9.1999999999999993</v>
      </c>
      <c r="U21" s="39">
        <f t="shared" si="2"/>
        <v>64</v>
      </c>
      <c r="V21" s="39">
        <f t="shared" si="3"/>
        <v>73.599999999999994</v>
      </c>
      <c r="W21" s="3"/>
    </row>
    <row r="22" spans="1:23" s="4" customFormat="1" ht="18" customHeight="1">
      <c r="A22" s="25">
        <f t="shared" si="5"/>
        <v>18</v>
      </c>
      <c r="B22" s="26" t="s">
        <v>25</v>
      </c>
      <c r="C22" s="25">
        <f>C21+N22</f>
        <v>25</v>
      </c>
      <c r="D22" s="109"/>
      <c r="E22" s="109"/>
      <c r="F22" s="109"/>
      <c r="G22" s="17"/>
      <c r="H22" s="18"/>
      <c r="I22" s="18"/>
      <c r="J22" s="19">
        <v>50</v>
      </c>
      <c r="K22" s="19"/>
      <c r="L22" s="19"/>
      <c r="M22" s="18">
        <f t="shared" si="0"/>
        <v>50</v>
      </c>
      <c r="N22" s="20">
        <v>8</v>
      </c>
      <c r="O22" s="28">
        <f t="shared" si="1"/>
        <v>400</v>
      </c>
      <c r="P22" s="110"/>
      <c r="Q22" s="110"/>
      <c r="R22" s="111"/>
      <c r="S22" s="39">
        <v>8.8000000000000007</v>
      </c>
      <c r="T22" s="39">
        <f t="shared" si="4"/>
        <v>10</v>
      </c>
      <c r="U22" s="39">
        <f t="shared" si="2"/>
        <v>70.400000000000006</v>
      </c>
      <c r="V22" s="39">
        <f t="shared" si="3"/>
        <v>80</v>
      </c>
      <c r="W22" s="3"/>
    </row>
    <row r="23" spans="1:23" s="4" customFormat="1" ht="18" customHeight="1">
      <c r="A23" s="25">
        <f t="shared" si="5"/>
        <v>26</v>
      </c>
      <c r="B23" s="26" t="s">
        <v>25</v>
      </c>
      <c r="C23" s="25">
        <f>C22+N23</f>
        <v>33</v>
      </c>
      <c r="D23" s="109"/>
      <c r="E23" s="109"/>
      <c r="F23" s="109"/>
      <c r="G23" s="17"/>
      <c r="H23" s="18"/>
      <c r="I23" s="18"/>
      <c r="J23" s="19"/>
      <c r="K23" s="19">
        <v>40</v>
      </c>
      <c r="L23" s="19"/>
      <c r="M23" s="18">
        <f t="shared" si="0"/>
        <v>40</v>
      </c>
      <c r="N23" s="20">
        <v>8</v>
      </c>
      <c r="O23" s="28">
        <f t="shared" si="1"/>
        <v>320</v>
      </c>
      <c r="P23" s="110"/>
      <c r="Q23" s="110"/>
      <c r="R23" s="111"/>
      <c r="S23" s="39">
        <v>7.5</v>
      </c>
      <c r="T23" s="39">
        <f t="shared" si="4"/>
        <v>8.6999999999999993</v>
      </c>
      <c r="U23" s="39">
        <f t="shared" si="2"/>
        <v>60</v>
      </c>
      <c r="V23" s="39">
        <f t="shared" si="3"/>
        <v>69.599999999999994</v>
      </c>
      <c r="W23" s="3"/>
    </row>
    <row r="24" spans="1:23" s="4" customFormat="1" ht="18" customHeight="1">
      <c r="A24" s="25">
        <f t="shared" si="5"/>
        <v>34</v>
      </c>
      <c r="B24" s="26" t="s">
        <v>25</v>
      </c>
      <c r="C24" s="25">
        <f t="shared" ref="C24:C25" si="6">C23+N24</f>
        <v>34</v>
      </c>
      <c r="D24" s="109"/>
      <c r="E24" s="109"/>
      <c r="F24" s="109"/>
      <c r="G24" s="17"/>
      <c r="H24" s="18"/>
      <c r="I24" s="18"/>
      <c r="J24" s="19"/>
      <c r="K24" s="19">
        <v>34</v>
      </c>
      <c r="L24" s="19"/>
      <c r="M24" s="18">
        <f t="shared" si="0"/>
        <v>34</v>
      </c>
      <c r="N24" s="20">
        <v>1</v>
      </c>
      <c r="O24" s="28">
        <f t="shared" si="1"/>
        <v>34</v>
      </c>
      <c r="P24" s="110"/>
      <c r="Q24" s="110"/>
      <c r="R24" s="111"/>
      <c r="S24" s="39">
        <v>6.4</v>
      </c>
      <c r="T24" s="39">
        <f t="shared" si="4"/>
        <v>7.6000000000000005</v>
      </c>
      <c r="U24" s="39">
        <f t="shared" si="2"/>
        <v>6.4</v>
      </c>
      <c r="V24" s="39">
        <f t="shared" si="3"/>
        <v>7.6000000000000005</v>
      </c>
      <c r="W24" s="3"/>
    </row>
    <row r="25" spans="1:23" s="4" customFormat="1" ht="18" customHeight="1">
      <c r="A25" s="25">
        <f t="shared" si="5"/>
        <v>35</v>
      </c>
      <c r="B25" s="26" t="s">
        <v>25</v>
      </c>
      <c r="C25" s="25">
        <f t="shared" si="6"/>
        <v>35</v>
      </c>
      <c r="D25" s="109"/>
      <c r="E25" s="109"/>
      <c r="F25" s="109"/>
      <c r="G25" s="17">
        <v>9</v>
      </c>
      <c r="H25" s="18">
        <v>6</v>
      </c>
      <c r="I25" s="18">
        <v>8</v>
      </c>
      <c r="J25" s="19">
        <v>18</v>
      </c>
      <c r="K25" s="19"/>
      <c r="L25" s="19"/>
      <c r="M25" s="18">
        <f t="shared" si="0"/>
        <v>41</v>
      </c>
      <c r="N25" s="20">
        <v>1</v>
      </c>
      <c r="O25" s="28">
        <f t="shared" si="1"/>
        <v>41</v>
      </c>
      <c r="P25" s="110"/>
      <c r="Q25" s="110"/>
      <c r="R25" s="111"/>
      <c r="S25" s="39">
        <v>6.6</v>
      </c>
      <c r="T25" s="39">
        <f t="shared" si="4"/>
        <v>7.8</v>
      </c>
      <c r="U25" s="39">
        <f t="shared" si="2"/>
        <v>6.6</v>
      </c>
      <c r="V25" s="39">
        <f t="shared" si="3"/>
        <v>7.8</v>
      </c>
      <c r="W25" s="3"/>
    </row>
    <row r="26" spans="1:23" s="23" customFormat="1" ht="21.95" customHeight="1">
      <c r="A26" s="112" t="s">
        <v>2</v>
      </c>
      <c r="B26" s="112"/>
      <c r="C26" s="112"/>
      <c r="D26" s="112"/>
      <c r="E26" s="112"/>
      <c r="F26" s="112"/>
      <c r="G26" s="52">
        <f>O19+G25</f>
        <v>249</v>
      </c>
      <c r="H26" s="53">
        <f>O20+H25</f>
        <v>306</v>
      </c>
      <c r="I26" s="53">
        <f>O21+I25</f>
        <v>408</v>
      </c>
      <c r="J26" s="53">
        <f>O22+J25</f>
        <v>418</v>
      </c>
      <c r="K26" s="53">
        <f>O23+K24</f>
        <v>354</v>
      </c>
      <c r="L26" s="53"/>
      <c r="M26" s="54"/>
      <c r="N26" s="55">
        <f>SUM(N19:N25)</f>
        <v>35</v>
      </c>
      <c r="O26" s="56">
        <f>SUM(O19:O25)</f>
        <v>1735</v>
      </c>
      <c r="P26" s="113">
        <f>(P19*Q19*R19)/1000000*N26</f>
        <v>1.7517499999999999</v>
      </c>
      <c r="Q26" s="113"/>
      <c r="R26" s="113"/>
      <c r="S26" s="57"/>
      <c r="T26" s="58"/>
      <c r="U26" s="59">
        <f>SUM(U19:U25)</f>
        <v>286.5</v>
      </c>
      <c r="V26" s="59">
        <f>SUM(V19:V25)</f>
        <v>328.50000000000006</v>
      </c>
    </row>
    <row r="27" spans="1:23" ht="15" customHeight="1">
      <c r="A27" s="114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6"/>
      <c r="W27" s="2"/>
    </row>
    <row r="28" spans="1:23" s="6" customFormat="1" ht="15" customHeight="1">
      <c r="A28" s="103" t="s">
        <v>5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46"/>
      <c r="N28" s="47">
        <f>N26</f>
        <v>35</v>
      </c>
      <c r="O28" s="48">
        <f>O26</f>
        <v>1735</v>
      </c>
      <c r="P28" s="117">
        <f>P26</f>
        <v>1.7517499999999999</v>
      </c>
      <c r="Q28" s="117"/>
      <c r="R28" s="117"/>
      <c r="S28" s="49"/>
      <c r="T28" s="49"/>
      <c r="U28" s="50">
        <f>U26</f>
        <v>286.5</v>
      </c>
      <c r="V28" s="50">
        <f>V26</f>
        <v>328.50000000000006</v>
      </c>
      <c r="W28" s="5"/>
    </row>
    <row r="29" spans="1:23" ht="15" customHeight="1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</row>
    <row r="30" spans="1:23" s="7" customFormat="1" ht="30" customHeight="1">
      <c r="A30" s="106" t="s">
        <v>10</v>
      </c>
      <c r="B30" s="106"/>
      <c r="C30" s="106"/>
      <c r="D30" s="103" t="str">
        <f>D17</f>
        <v>COLOR</v>
      </c>
      <c r="E30" s="103"/>
      <c r="F30" s="103"/>
      <c r="G30" s="51" t="str">
        <f t="shared" ref="G30:L30" si="7">G18</f>
        <v>S</v>
      </c>
      <c r="H30" s="51" t="str">
        <f t="shared" si="7"/>
        <v>M</v>
      </c>
      <c r="I30" s="51" t="str">
        <f t="shared" si="7"/>
        <v>L</v>
      </c>
      <c r="J30" s="51" t="str">
        <f t="shared" si="7"/>
        <v>XL</v>
      </c>
      <c r="K30" s="51" t="str">
        <f t="shared" si="7"/>
        <v>XXL</v>
      </c>
      <c r="L30" s="51" t="str">
        <f t="shared" si="7"/>
        <v>3XL</v>
      </c>
      <c r="M30" s="103" t="s">
        <v>2</v>
      </c>
      <c r="N30" s="103"/>
      <c r="O30" s="69"/>
      <c r="P30" s="69"/>
      <c r="S30" s="69"/>
      <c r="T30" s="69"/>
      <c r="U30" s="69"/>
      <c r="V30" s="69"/>
    </row>
    <row r="31" spans="1:23" s="7" customFormat="1" ht="24.95" customHeight="1">
      <c r="A31" s="119" t="s">
        <v>12</v>
      </c>
      <c r="B31" s="119"/>
      <c r="C31" s="119"/>
      <c r="D31" s="120" t="str">
        <f>D19</f>
        <v>Alpine Blue</v>
      </c>
      <c r="E31" s="121"/>
      <c r="F31" s="121"/>
      <c r="G31" s="64">
        <v>250</v>
      </c>
      <c r="H31" s="64">
        <v>300</v>
      </c>
      <c r="I31" s="64">
        <v>400</v>
      </c>
      <c r="J31" s="64">
        <v>400</v>
      </c>
      <c r="K31" s="64">
        <v>350</v>
      </c>
      <c r="L31" s="64"/>
      <c r="M31" s="122">
        <f>G31+H31+I31+J31+K31+L31</f>
        <v>1700</v>
      </c>
      <c r="N31" s="122"/>
      <c r="O31" s="22"/>
      <c r="P31" s="21"/>
      <c r="S31" s="69"/>
      <c r="T31" s="69"/>
      <c r="U31" s="69"/>
      <c r="V31" s="69"/>
    </row>
    <row r="32" spans="1:23" s="7" customFormat="1" ht="24.95" customHeight="1">
      <c r="A32" s="119" t="s">
        <v>30</v>
      </c>
      <c r="B32" s="119"/>
      <c r="C32" s="119"/>
      <c r="D32" s="121"/>
      <c r="E32" s="121"/>
      <c r="F32" s="121"/>
      <c r="G32" s="64">
        <f t="shared" ref="G32:K32" si="8">G26</f>
        <v>249</v>
      </c>
      <c r="H32" s="64">
        <f t="shared" si="8"/>
        <v>306</v>
      </c>
      <c r="I32" s="64">
        <f t="shared" si="8"/>
        <v>408</v>
      </c>
      <c r="J32" s="64">
        <f t="shared" si="8"/>
        <v>418</v>
      </c>
      <c r="K32" s="64">
        <f t="shared" si="8"/>
        <v>354</v>
      </c>
      <c r="L32" s="64"/>
      <c r="M32" s="122">
        <f>G32+H32+I32+J32+K32+L32</f>
        <v>1735</v>
      </c>
      <c r="N32" s="122"/>
      <c r="O32" s="22"/>
      <c r="P32" s="21"/>
      <c r="S32" s="69"/>
      <c r="T32" s="69"/>
      <c r="U32" s="69"/>
      <c r="V32" s="69"/>
    </row>
  </sheetData>
  <mergeCells count="40">
    <mergeCell ref="A31:C31"/>
    <mergeCell ref="D31:F32"/>
    <mergeCell ref="M31:N31"/>
    <mergeCell ref="A32:C32"/>
    <mergeCell ref="M32:N32"/>
    <mergeCell ref="A27:V27"/>
    <mergeCell ref="A28:L28"/>
    <mergeCell ref="P28:R28"/>
    <mergeCell ref="A29:V29"/>
    <mergeCell ref="A30:C30"/>
    <mergeCell ref="D30:F30"/>
    <mergeCell ref="M30:N30"/>
    <mergeCell ref="D19:F25"/>
    <mergeCell ref="P19:P25"/>
    <mergeCell ref="Q19:Q25"/>
    <mergeCell ref="R19:R25"/>
    <mergeCell ref="A26:F26"/>
    <mergeCell ref="P26:R26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5036-8854-4674-9607-C025A4227912}">
  <sheetPr>
    <tabColor rgb="FFFF5050"/>
    <pageSetUpPr fitToPage="1"/>
  </sheetPr>
  <dimension ref="A1:W32"/>
  <sheetViews>
    <sheetView showGridLines="0" view="pageBreakPreview" topLeftCell="A18" zoomScaleNormal="62" zoomScaleSheetLayoutView="100" workbookViewId="0">
      <selection activeCell="S27" sqref="S27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100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101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1600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M32</f>
        <v>1649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49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N28</f>
        <v>32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88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65" t="s">
        <v>22</v>
      </c>
      <c r="J18" s="65" t="s">
        <v>93</v>
      </c>
      <c r="K18" s="65" t="s">
        <v>94</v>
      </c>
      <c r="L18" s="65" t="s">
        <v>95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3</v>
      </c>
      <c r="D19" s="109" t="s">
        <v>99</v>
      </c>
      <c r="E19" s="109"/>
      <c r="F19" s="109"/>
      <c r="G19" s="17">
        <v>60</v>
      </c>
      <c r="H19" s="18"/>
      <c r="I19" s="18"/>
      <c r="J19" s="19"/>
      <c r="K19" s="19"/>
      <c r="L19" s="19"/>
      <c r="M19" s="18">
        <f t="shared" ref="M19:M25" si="0">SUM(G19:L19)</f>
        <v>60</v>
      </c>
      <c r="N19" s="20">
        <v>3</v>
      </c>
      <c r="O19" s="28">
        <f t="shared" ref="O19:O25" si="1">M19*N19</f>
        <v>180</v>
      </c>
      <c r="P19" s="110">
        <v>55</v>
      </c>
      <c r="Q19" s="110">
        <v>35</v>
      </c>
      <c r="R19" s="111">
        <v>26</v>
      </c>
      <c r="S19" s="39">
        <v>9.6</v>
      </c>
      <c r="T19" s="39">
        <f>S19+1.2</f>
        <v>10.799999999999999</v>
      </c>
      <c r="U19" s="39">
        <f t="shared" ref="U19:U25" si="2">S19*N19</f>
        <v>28.799999999999997</v>
      </c>
      <c r="V19" s="39">
        <f t="shared" ref="V19:V25" si="3">T19*N19</f>
        <v>32.4</v>
      </c>
      <c r="W19" s="3"/>
    </row>
    <row r="20" spans="1:23" s="4" customFormat="1" ht="18" customHeight="1">
      <c r="A20" s="25">
        <f>C19+1</f>
        <v>4</v>
      </c>
      <c r="B20" s="26" t="s">
        <v>25</v>
      </c>
      <c r="C20" s="25">
        <f>C19+N20</f>
        <v>9</v>
      </c>
      <c r="D20" s="109"/>
      <c r="E20" s="109"/>
      <c r="F20" s="109"/>
      <c r="G20" s="17"/>
      <c r="H20" s="18">
        <v>60</v>
      </c>
      <c r="I20" s="18"/>
      <c r="J20" s="19"/>
      <c r="K20" s="19"/>
      <c r="L20" s="19"/>
      <c r="M20" s="18">
        <f t="shared" si="0"/>
        <v>60</v>
      </c>
      <c r="N20" s="20">
        <v>6</v>
      </c>
      <c r="O20" s="28">
        <f t="shared" si="1"/>
        <v>360</v>
      </c>
      <c r="P20" s="110"/>
      <c r="Q20" s="110"/>
      <c r="R20" s="111"/>
      <c r="S20" s="39">
        <v>10.4</v>
      </c>
      <c r="T20" s="39">
        <f t="shared" ref="T20:T25" si="4">S20+1.2</f>
        <v>11.6</v>
      </c>
      <c r="U20" s="39">
        <f t="shared" si="2"/>
        <v>62.400000000000006</v>
      </c>
      <c r="V20" s="39">
        <f t="shared" si="3"/>
        <v>69.599999999999994</v>
      </c>
      <c r="W20" s="3"/>
    </row>
    <row r="21" spans="1:23" s="4" customFormat="1" ht="18" customHeight="1">
      <c r="A21" s="25">
        <f t="shared" ref="A21:A25" si="5">C20+1</f>
        <v>10</v>
      </c>
      <c r="B21" s="26" t="s">
        <v>25</v>
      </c>
      <c r="C21" s="25">
        <f>C20+N21</f>
        <v>17</v>
      </c>
      <c r="D21" s="109"/>
      <c r="E21" s="109"/>
      <c r="F21" s="109"/>
      <c r="G21" s="17"/>
      <c r="H21" s="18"/>
      <c r="I21" s="18">
        <v>50</v>
      </c>
      <c r="J21" s="19"/>
      <c r="K21" s="19"/>
      <c r="L21" s="19"/>
      <c r="M21" s="18">
        <f t="shared" si="0"/>
        <v>50</v>
      </c>
      <c r="N21" s="20">
        <v>8</v>
      </c>
      <c r="O21" s="28">
        <f t="shared" si="1"/>
        <v>400</v>
      </c>
      <c r="P21" s="110"/>
      <c r="Q21" s="110"/>
      <c r="R21" s="111"/>
      <c r="S21" s="39">
        <v>9.1</v>
      </c>
      <c r="T21" s="39">
        <f t="shared" si="4"/>
        <v>10.299999999999999</v>
      </c>
      <c r="U21" s="39">
        <f t="shared" si="2"/>
        <v>72.8</v>
      </c>
      <c r="V21" s="39">
        <f t="shared" si="3"/>
        <v>82.399999999999991</v>
      </c>
      <c r="W21" s="3"/>
    </row>
    <row r="22" spans="1:23" s="4" customFormat="1" ht="18" customHeight="1">
      <c r="A22" s="25">
        <f t="shared" si="5"/>
        <v>18</v>
      </c>
      <c r="B22" s="26" t="s">
        <v>25</v>
      </c>
      <c r="C22" s="25">
        <f>C21+N22</f>
        <v>23</v>
      </c>
      <c r="D22" s="109"/>
      <c r="E22" s="109"/>
      <c r="F22" s="109"/>
      <c r="G22" s="17"/>
      <c r="H22" s="18"/>
      <c r="I22" s="18"/>
      <c r="J22" s="19">
        <v>50</v>
      </c>
      <c r="K22" s="19"/>
      <c r="L22" s="19"/>
      <c r="M22" s="18">
        <f t="shared" si="0"/>
        <v>50</v>
      </c>
      <c r="N22" s="20">
        <v>6</v>
      </c>
      <c r="O22" s="28">
        <f t="shared" si="1"/>
        <v>300</v>
      </c>
      <c r="P22" s="110"/>
      <c r="Q22" s="110"/>
      <c r="R22" s="111"/>
      <c r="S22" s="39">
        <v>9.9</v>
      </c>
      <c r="T22" s="39">
        <f t="shared" si="4"/>
        <v>11.1</v>
      </c>
      <c r="U22" s="39">
        <f t="shared" si="2"/>
        <v>59.400000000000006</v>
      </c>
      <c r="V22" s="39">
        <f t="shared" si="3"/>
        <v>66.599999999999994</v>
      </c>
      <c r="W22" s="3"/>
    </row>
    <row r="23" spans="1:23" s="4" customFormat="1" ht="18" customHeight="1">
      <c r="A23" s="25">
        <f t="shared" si="5"/>
        <v>24</v>
      </c>
      <c r="B23" s="26" t="s">
        <v>25</v>
      </c>
      <c r="C23" s="25">
        <f>C22+N23</f>
        <v>30</v>
      </c>
      <c r="D23" s="109"/>
      <c r="E23" s="109"/>
      <c r="F23" s="109"/>
      <c r="G23" s="17"/>
      <c r="H23" s="18"/>
      <c r="I23" s="18"/>
      <c r="J23" s="19"/>
      <c r="K23" s="19">
        <v>40</v>
      </c>
      <c r="L23" s="19"/>
      <c r="M23" s="18">
        <f t="shared" si="0"/>
        <v>40</v>
      </c>
      <c r="N23" s="20">
        <v>7</v>
      </c>
      <c r="O23" s="28">
        <f t="shared" si="1"/>
        <v>280</v>
      </c>
      <c r="P23" s="110"/>
      <c r="Q23" s="110"/>
      <c r="R23" s="111"/>
      <c r="S23" s="39">
        <v>8.4</v>
      </c>
      <c r="T23" s="39">
        <f t="shared" si="4"/>
        <v>9.6</v>
      </c>
      <c r="U23" s="39">
        <f t="shared" si="2"/>
        <v>58.800000000000004</v>
      </c>
      <c r="V23" s="39">
        <f t="shared" si="3"/>
        <v>67.2</v>
      </c>
      <c r="W23" s="3"/>
    </row>
    <row r="24" spans="1:23" s="4" customFormat="1" ht="18" customHeight="1">
      <c r="A24" s="25">
        <f t="shared" si="5"/>
        <v>31</v>
      </c>
      <c r="B24" s="26" t="s">
        <v>25</v>
      </c>
      <c r="C24" s="25">
        <f t="shared" ref="C24:C25" si="6">C23+N24</f>
        <v>31</v>
      </c>
      <c r="D24" s="109"/>
      <c r="E24" s="109"/>
      <c r="F24" s="109"/>
      <c r="G24" s="17">
        <v>24</v>
      </c>
      <c r="H24" s="18"/>
      <c r="I24" s="18">
        <v>13</v>
      </c>
      <c r="J24" s="19"/>
      <c r="K24" s="19">
        <v>27</v>
      </c>
      <c r="L24" s="19"/>
      <c r="M24" s="18">
        <f t="shared" si="0"/>
        <v>64</v>
      </c>
      <c r="N24" s="20">
        <v>1</v>
      </c>
      <c r="O24" s="28">
        <f t="shared" si="1"/>
        <v>64</v>
      </c>
      <c r="P24" s="110"/>
      <c r="Q24" s="110"/>
      <c r="R24" s="111"/>
      <c r="S24" s="39">
        <v>12</v>
      </c>
      <c r="T24" s="39">
        <f t="shared" si="4"/>
        <v>13.2</v>
      </c>
      <c r="U24" s="39">
        <f t="shared" si="2"/>
        <v>12</v>
      </c>
      <c r="V24" s="39">
        <f t="shared" si="3"/>
        <v>13.2</v>
      </c>
      <c r="W24" s="3"/>
    </row>
    <row r="25" spans="1:23" s="4" customFormat="1" ht="18" customHeight="1">
      <c r="A25" s="25">
        <f t="shared" si="5"/>
        <v>32</v>
      </c>
      <c r="B25" s="26" t="s">
        <v>25</v>
      </c>
      <c r="C25" s="25">
        <f t="shared" si="6"/>
        <v>32</v>
      </c>
      <c r="D25" s="109"/>
      <c r="E25" s="109"/>
      <c r="F25" s="109"/>
      <c r="G25" s="17"/>
      <c r="H25" s="18">
        <v>56</v>
      </c>
      <c r="I25" s="18"/>
      <c r="J25" s="19">
        <v>9</v>
      </c>
      <c r="K25" s="19"/>
      <c r="L25" s="19"/>
      <c r="M25" s="18">
        <f t="shared" si="0"/>
        <v>65</v>
      </c>
      <c r="N25" s="20">
        <v>1</v>
      </c>
      <c r="O25" s="28">
        <f t="shared" si="1"/>
        <v>65</v>
      </c>
      <c r="P25" s="110"/>
      <c r="Q25" s="110"/>
      <c r="R25" s="111"/>
      <c r="S25" s="39">
        <v>11.5</v>
      </c>
      <c r="T25" s="39">
        <f t="shared" si="4"/>
        <v>12.7</v>
      </c>
      <c r="U25" s="39">
        <f t="shared" si="2"/>
        <v>11.5</v>
      </c>
      <c r="V25" s="39">
        <f t="shared" si="3"/>
        <v>12.7</v>
      </c>
      <c r="W25" s="3"/>
    </row>
    <row r="26" spans="1:23" s="23" customFormat="1" ht="21.95" customHeight="1">
      <c r="A26" s="112" t="s">
        <v>2</v>
      </c>
      <c r="B26" s="112"/>
      <c r="C26" s="112"/>
      <c r="D26" s="112"/>
      <c r="E26" s="112"/>
      <c r="F26" s="112"/>
      <c r="G26" s="52">
        <f>O19+G24</f>
        <v>204</v>
      </c>
      <c r="H26" s="53">
        <f>O20+H25</f>
        <v>416</v>
      </c>
      <c r="I26" s="53">
        <f>O21+I24</f>
        <v>413</v>
      </c>
      <c r="J26" s="53">
        <f>O22+J25</f>
        <v>309</v>
      </c>
      <c r="K26" s="53">
        <f>O23+K24</f>
        <v>307</v>
      </c>
      <c r="L26" s="53"/>
      <c r="M26" s="54"/>
      <c r="N26" s="55">
        <f>SUM(N19:N25)</f>
        <v>32</v>
      </c>
      <c r="O26" s="56">
        <f>SUM(O19:O25)</f>
        <v>1649</v>
      </c>
      <c r="P26" s="113">
        <f>(P19*Q19*R19)/1000000*N26</f>
        <v>1.6015999999999999</v>
      </c>
      <c r="Q26" s="113"/>
      <c r="R26" s="113"/>
      <c r="S26" s="57"/>
      <c r="T26" s="58"/>
      <c r="U26" s="59">
        <f>SUM(U19:U25)</f>
        <v>305.7</v>
      </c>
      <c r="V26" s="59">
        <f>SUM(V19:V25)</f>
        <v>344.09999999999997</v>
      </c>
    </row>
    <row r="27" spans="1:23" ht="15" customHeight="1">
      <c r="A27" s="114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6"/>
      <c r="W27" s="2"/>
    </row>
    <row r="28" spans="1:23" s="6" customFormat="1" ht="15" customHeight="1">
      <c r="A28" s="103" t="s">
        <v>5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46"/>
      <c r="N28" s="47">
        <f>N26</f>
        <v>32</v>
      </c>
      <c r="O28" s="48">
        <f>O26</f>
        <v>1649</v>
      </c>
      <c r="P28" s="117">
        <f>P26</f>
        <v>1.6015999999999999</v>
      </c>
      <c r="Q28" s="117"/>
      <c r="R28" s="117"/>
      <c r="S28" s="49"/>
      <c r="T28" s="49"/>
      <c r="U28" s="50">
        <f>U26</f>
        <v>305.7</v>
      </c>
      <c r="V28" s="50">
        <f>V26</f>
        <v>344.09999999999997</v>
      </c>
      <c r="W28" s="5"/>
    </row>
    <row r="29" spans="1:23" ht="15" customHeight="1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</row>
    <row r="30" spans="1:23" s="7" customFormat="1" ht="30" customHeight="1">
      <c r="A30" s="106" t="s">
        <v>10</v>
      </c>
      <c r="B30" s="106"/>
      <c r="C30" s="106"/>
      <c r="D30" s="103" t="str">
        <f>D17</f>
        <v>COLOR</v>
      </c>
      <c r="E30" s="103"/>
      <c r="F30" s="103"/>
      <c r="G30" s="51" t="str">
        <f t="shared" ref="G30:L30" si="7">G18</f>
        <v>S</v>
      </c>
      <c r="H30" s="51" t="str">
        <f t="shared" si="7"/>
        <v>M</v>
      </c>
      <c r="I30" s="51" t="str">
        <f t="shared" si="7"/>
        <v>L</v>
      </c>
      <c r="J30" s="51" t="str">
        <f t="shared" si="7"/>
        <v>XL</v>
      </c>
      <c r="K30" s="51" t="str">
        <f t="shared" si="7"/>
        <v>XXL</v>
      </c>
      <c r="L30" s="51" t="str">
        <f t="shared" si="7"/>
        <v>3XL</v>
      </c>
      <c r="M30" s="103" t="s">
        <v>2</v>
      </c>
      <c r="N30" s="103"/>
      <c r="O30" s="69"/>
      <c r="P30" s="69"/>
      <c r="S30" s="69"/>
      <c r="T30" s="69"/>
      <c r="U30" s="69"/>
      <c r="V30" s="69"/>
    </row>
    <row r="31" spans="1:23" s="7" customFormat="1" ht="24.95" customHeight="1">
      <c r="A31" s="119" t="s">
        <v>12</v>
      </c>
      <c r="B31" s="119"/>
      <c r="C31" s="119"/>
      <c r="D31" s="120" t="str">
        <f>D19</f>
        <v>Black</v>
      </c>
      <c r="E31" s="121"/>
      <c r="F31" s="121"/>
      <c r="G31" s="64">
        <v>200</v>
      </c>
      <c r="H31" s="64">
        <v>400</v>
      </c>
      <c r="I31" s="64">
        <v>400</v>
      </c>
      <c r="J31" s="64">
        <v>300</v>
      </c>
      <c r="K31" s="64">
        <v>300</v>
      </c>
      <c r="L31" s="64"/>
      <c r="M31" s="122">
        <f>G31+H31+I31+J31+K31+L31</f>
        <v>1600</v>
      </c>
      <c r="N31" s="122"/>
      <c r="O31" s="22"/>
      <c r="P31" s="21"/>
      <c r="S31" s="69"/>
      <c r="T31" s="69"/>
      <c r="U31" s="69"/>
      <c r="V31" s="69"/>
    </row>
    <row r="32" spans="1:23" s="7" customFormat="1" ht="24.95" customHeight="1">
      <c r="A32" s="119" t="s">
        <v>30</v>
      </c>
      <c r="B32" s="119"/>
      <c r="C32" s="119"/>
      <c r="D32" s="121"/>
      <c r="E32" s="121"/>
      <c r="F32" s="121"/>
      <c r="G32" s="64">
        <f t="shared" ref="G32:K32" si="8">G26</f>
        <v>204</v>
      </c>
      <c r="H32" s="64">
        <f t="shared" si="8"/>
        <v>416</v>
      </c>
      <c r="I32" s="64">
        <f t="shared" si="8"/>
        <v>413</v>
      </c>
      <c r="J32" s="64">
        <f t="shared" si="8"/>
        <v>309</v>
      </c>
      <c r="K32" s="64">
        <f t="shared" si="8"/>
        <v>307</v>
      </c>
      <c r="L32" s="64">
        <f>L26</f>
        <v>0</v>
      </c>
      <c r="M32" s="122">
        <f>G32+H32+I32+J32+K32+L32</f>
        <v>1649</v>
      </c>
      <c r="N32" s="122"/>
      <c r="O32" s="22"/>
      <c r="P32" s="21"/>
      <c r="S32" s="69"/>
      <c r="T32" s="69"/>
      <c r="U32" s="69"/>
      <c r="V32" s="69"/>
    </row>
  </sheetData>
  <mergeCells count="40">
    <mergeCell ref="A31:C31"/>
    <mergeCell ref="D31:F32"/>
    <mergeCell ref="M31:N31"/>
    <mergeCell ref="A32:C32"/>
    <mergeCell ref="M32:N32"/>
    <mergeCell ref="A27:V27"/>
    <mergeCell ref="A28:L28"/>
    <mergeCell ref="P28:R28"/>
    <mergeCell ref="A29:V29"/>
    <mergeCell ref="A30:C30"/>
    <mergeCell ref="D30:F30"/>
    <mergeCell ref="M30:N30"/>
    <mergeCell ref="D19:F25"/>
    <mergeCell ref="P19:P25"/>
    <mergeCell ref="Q19:Q25"/>
    <mergeCell ref="R19:R25"/>
    <mergeCell ref="A26:F26"/>
    <mergeCell ref="P26:R26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5ABCC-9FDE-443B-8F3A-4C177A79A5A3}">
  <sheetPr>
    <tabColor rgb="FFFF5050"/>
    <pageSetUpPr fitToPage="1"/>
  </sheetPr>
  <dimension ref="A1:W32"/>
  <sheetViews>
    <sheetView showGridLines="0" view="pageBreakPreview" topLeftCell="A15" zoomScaleNormal="62" zoomScaleSheetLayoutView="100" workbookViewId="0">
      <selection activeCell="S27" sqref="S27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160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161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2000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M32</f>
        <v>2056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56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N28</f>
        <v>39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88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65" t="s">
        <v>22</v>
      </c>
      <c r="J18" s="65" t="s">
        <v>93</v>
      </c>
      <c r="K18" s="65" t="s">
        <v>94</v>
      </c>
      <c r="L18" s="65" t="s">
        <v>95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6</v>
      </c>
      <c r="D19" s="109" t="s">
        <v>162</v>
      </c>
      <c r="E19" s="109"/>
      <c r="F19" s="109"/>
      <c r="G19" s="17">
        <v>60</v>
      </c>
      <c r="H19" s="18"/>
      <c r="I19" s="18"/>
      <c r="J19" s="19"/>
      <c r="K19" s="19"/>
      <c r="L19" s="19"/>
      <c r="M19" s="18">
        <f t="shared" ref="M19:M25" si="0">SUM(G19:L19)</f>
        <v>60</v>
      </c>
      <c r="N19" s="20">
        <v>6</v>
      </c>
      <c r="O19" s="28">
        <f t="shared" ref="O19:O25" si="1">M19*N19</f>
        <v>360</v>
      </c>
      <c r="P19" s="110">
        <v>55</v>
      </c>
      <c r="Q19" s="110">
        <v>35</v>
      </c>
      <c r="R19" s="111">
        <v>26</v>
      </c>
      <c r="S19" s="39">
        <v>8.5</v>
      </c>
      <c r="T19" s="39">
        <f>S19+1.2</f>
        <v>9.6999999999999993</v>
      </c>
      <c r="U19" s="39">
        <f t="shared" ref="U19:U25" si="2">S19*N19</f>
        <v>51</v>
      </c>
      <c r="V19" s="39">
        <f t="shared" ref="V19:V25" si="3">T19*N19</f>
        <v>58.199999999999996</v>
      </c>
      <c r="W19" s="3"/>
    </row>
    <row r="20" spans="1:23" s="4" customFormat="1" ht="18" customHeight="1">
      <c r="A20" s="25">
        <f>C19+1</f>
        <v>7</v>
      </c>
      <c r="B20" s="26" t="s">
        <v>25</v>
      </c>
      <c r="C20" s="25">
        <f>C19+N20</f>
        <v>13</v>
      </c>
      <c r="D20" s="109"/>
      <c r="E20" s="109"/>
      <c r="F20" s="109"/>
      <c r="G20" s="17"/>
      <c r="H20" s="18">
        <v>60</v>
      </c>
      <c r="I20" s="18"/>
      <c r="J20" s="19"/>
      <c r="K20" s="19"/>
      <c r="L20" s="19"/>
      <c r="M20" s="18">
        <f t="shared" si="0"/>
        <v>60</v>
      </c>
      <c r="N20" s="20">
        <v>7</v>
      </c>
      <c r="O20" s="28">
        <f t="shared" si="1"/>
        <v>420</v>
      </c>
      <c r="P20" s="110"/>
      <c r="Q20" s="110"/>
      <c r="R20" s="111"/>
      <c r="S20" s="39">
        <v>9.1999999999999993</v>
      </c>
      <c r="T20" s="39">
        <f t="shared" ref="T20:T25" si="4">S20+1.2</f>
        <v>10.399999999999999</v>
      </c>
      <c r="U20" s="39">
        <f t="shared" si="2"/>
        <v>64.399999999999991</v>
      </c>
      <c r="V20" s="39">
        <f t="shared" si="3"/>
        <v>72.799999999999983</v>
      </c>
      <c r="W20" s="3"/>
    </row>
    <row r="21" spans="1:23" s="4" customFormat="1" ht="18" customHeight="1">
      <c r="A21" s="25">
        <f t="shared" ref="A21:A25" si="5">C20+1</f>
        <v>14</v>
      </c>
      <c r="B21" s="26" t="s">
        <v>25</v>
      </c>
      <c r="C21" s="25">
        <f>C20+N21</f>
        <v>22</v>
      </c>
      <c r="D21" s="109"/>
      <c r="E21" s="109"/>
      <c r="F21" s="109"/>
      <c r="G21" s="17"/>
      <c r="H21" s="18"/>
      <c r="I21" s="18">
        <v>50</v>
      </c>
      <c r="J21" s="19"/>
      <c r="K21" s="19"/>
      <c r="L21" s="19"/>
      <c r="M21" s="18">
        <f t="shared" si="0"/>
        <v>50</v>
      </c>
      <c r="N21" s="20">
        <v>9</v>
      </c>
      <c r="O21" s="28">
        <f t="shared" si="1"/>
        <v>450</v>
      </c>
      <c r="P21" s="110"/>
      <c r="Q21" s="110"/>
      <c r="R21" s="111"/>
      <c r="S21" s="39">
        <v>8.3000000000000007</v>
      </c>
      <c r="T21" s="39">
        <f t="shared" si="4"/>
        <v>9.5</v>
      </c>
      <c r="U21" s="39">
        <f t="shared" si="2"/>
        <v>74.7</v>
      </c>
      <c r="V21" s="39">
        <f t="shared" si="3"/>
        <v>85.5</v>
      </c>
      <c r="W21" s="3"/>
    </row>
    <row r="22" spans="1:23" s="4" customFormat="1" ht="18" customHeight="1">
      <c r="A22" s="25">
        <f t="shared" si="5"/>
        <v>23</v>
      </c>
      <c r="B22" s="26" t="s">
        <v>25</v>
      </c>
      <c r="C22" s="25">
        <f>C21+N22</f>
        <v>30</v>
      </c>
      <c r="D22" s="109"/>
      <c r="E22" s="109"/>
      <c r="F22" s="109"/>
      <c r="G22" s="17"/>
      <c r="H22" s="18"/>
      <c r="I22" s="18"/>
      <c r="J22" s="19">
        <v>50</v>
      </c>
      <c r="K22" s="19"/>
      <c r="L22" s="19"/>
      <c r="M22" s="18">
        <f t="shared" si="0"/>
        <v>50</v>
      </c>
      <c r="N22" s="20">
        <v>8</v>
      </c>
      <c r="O22" s="28">
        <f t="shared" si="1"/>
        <v>400</v>
      </c>
      <c r="P22" s="110"/>
      <c r="Q22" s="110"/>
      <c r="R22" s="111"/>
      <c r="S22" s="39">
        <v>8.8000000000000007</v>
      </c>
      <c r="T22" s="39">
        <f t="shared" si="4"/>
        <v>10</v>
      </c>
      <c r="U22" s="39">
        <f t="shared" si="2"/>
        <v>70.400000000000006</v>
      </c>
      <c r="V22" s="39">
        <f t="shared" si="3"/>
        <v>80</v>
      </c>
      <c r="W22" s="3"/>
    </row>
    <row r="23" spans="1:23" s="4" customFormat="1" ht="18" customHeight="1">
      <c r="A23" s="25">
        <f t="shared" si="5"/>
        <v>31</v>
      </c>
      <c r="B23" s="26" t="s">
        <v>25</v>
      </c>
      <c r="C23" s="25">
        <f>C22+N23</f>
        <v>37</v>
      </c>
      <c r="D23" s="109"/>
      <c r="E23" s="109"/>
      <c r="F23" s="109"/>
      <c r="G23" s="17"/>
      <c r="H23" s="18"/>
      <c r="I23" s="18"/>
      <c r="J23" s="19"/>
      <c r="K23" s="19">
        <v>40</v>
      </c>
      <c r="L23" s="19"/>
      <c r="M23" s="18">
        <f t="shared" si="0"/>
        <v>40</v>
      </c>
      <c r="N23" s="20">
        <v>7</v>
      </c>
      <c r="O23" s="28">
        <f t="shared" si="1"/>
        <v>280</v>
      </c>
      <c r="P23" s="110"/>
      <c r="Q23" s="110"/>
      <c r="R23" s="111"/>
      <c r="S23" s="39">
        <v>7.6</v>
      </c>
      <c r="T23" s="39">
        <f t="shared" si="4"/>
        <v>8.7999999999999989</v>
      </c>
      <c r="U23" s="39">
        <f t="shared" si="2"/>
        <v>53.199999999999996</v>
      </c>
      <c r="V23" s="39">
        <f t="shared" si="3"/>
        <v>61.599999999999994</v>
      </c>
      <c r="W23" s="3"/>
    </row>
    <row r="24" spans="1:23" s="4" customFormat="1" ht="18" customHeight="1">
      <c r="A24" s="25">
        <f t="shared" si="5"/>
        <v>38</v>
      </c>
      <c r="B24" s="26" t="s">
        <v>25</v>
      </c>
      <c r="C24" s="25">
        <f t="shared" ref="C24:C25" si="6">C23+N24</f>
        <v>38</v>
      </c>
      <c r="D24" s="109"/>
      <c r="E24" s="109"/>
      <c r="F24" s="109"/>
      <c r="G24" s="17">
        <v>45</v>
      </c>
      <c r="H24" s="18"/>
      <c r="I24" s="18">
        <v>18</v>
      </c>
      <c r="J24" s="19">
        <v>16</v>
      </c>
      <c r="K24" s="19"/>
      <c r="L24" s="19"/>
      <c r="M24" s="18">
        <f t="shared" si="0"/>
        <v>79</v>
      </c>
      <c r="N24" s="20">
        <v>1</v>
      </c>
      <c r="O24" s="28">
        <f t="shared" si="1"/>
        <v>79</v>
      </c>
      <c r="P24" s="110"/>
      <c r="Q24" s="110"/>
      <c r="R24" s="111"/>
      <c r="S24" s="39">
        <v>12.1</v>
      </c>
      <c r="T24" s="39">
        <f t="shared" si="4"/>
        <v>13.299999999999999</v>
      </c>
      <c r="U24" s="39">
        <f t="shared" si="2"/>
        <v>12.1</v>
      </c>
      <c r="V24" s="39">
        <f t="shared" si="3"/>
        <v>13.299999999999999</v>
      </c>
      <c r="W24" s="3"/>
    </row>
    <row r="25" spans="1:23" s="4" customFormat="1" ht="18" customHeight="1">
      <c r="A25" s="25">
        <f t="shared" si="5"/>
        <v>39</v>
      </c>
      <c r="B25" s="26" t="s">
        <v>25</v>
      </c>
      <c r="C25" s="25">
        <f t="shared" si="6"/>
        <v>39</v>
      </c>
      <c r="D25" s="109"/>
      <c r="E25" s="109"/>
      <c r="F25" s="109"/>
      <c r="G25" s="17"/>
      <c r="H25" s="18">
        <v>41</v>
      </c>
      <c r="I25" s="18"/>
      <c r="J25" s="19"/>
      <c r="K25" s="19">
        <v>26</v>
      </c>
      <c r="L25" s="19"/>
      <c r="M25" s="18">
        <f t="shared" si="0"/>
        <v>67</v>
      </c>
      <c r="N25" s="20">
        <v>1</v>
      </c>
      <c r="O25" s="28">
        <f t="shared" si="1"/>
        <v>67</v>
      </c>
      <c r="P25" s="110"/>
      <c r="Q25" s="110"/>
      <c r="R25" s="111"/>
      <c r="S25" s="39">
        <v>11.2</v>
      </c>
      <c r="T25" s="39">
        <f t="shared" si="4"/>
        <v>12.399999999999999</v>
      </c>
      <c r="U25" s="39">
        <f t="shared" si="2"/>
        <v>11.2</v>
      </c>
      <c r="V25" s="39">
        <f t="shared" si="3"/>
        <v>12.399999999999999</v>
      </c>
      <c r="W25" s="3"/>
    </row>
    <row r="26" spans="1:23" s="23" customFormat="1" ht="21.95" customHeight="1">
      <c r="A26" s="112" t="s">
        <v>2</v>
      </c>
      <c r="B26" s="112"/>
      <c r="C26" s="112"/>
      <c r="D26" s="112"/>
      <c r="E26" s="112"/>
      <c r="F26" s="112"/>
      <c r="G26" s="52">
        <f>O19+G24</f>
        <v>405</v>
      </c>
      <c r="H26" s="53">
        <f>O20+H25</f>
        <v>461</v>
      </c>
      <c r="I26" s="53">
        <f>O21+I24</f>
        <v>468</v>
      </c>
      <c r="J26" s="53">
        <f>O22+J24</f>
        <v>416</v>
      </c>
      <c r="K26" s="53">
        <f>O23+K25</f>
        <v>306</v>
      </c>
      <c r="L26" s="53"/>
      <c r="M26" s="54"/>
      <c r="N26" s="55">
        <f>SUM(N19:N25)</f>
        <v>39</v>
      </c>
      <c r="O26" s="56">
        <f>SUM(O19:O25)</f>
        <v>2056</v>
      </c>
      <c r="P26" s="113">
        <f>(P19*Q19*R19)/1000000*N26</f>
        <v>1.9519499999999999</v>
      </c>
      <c r="Q26" s="113"/>
      <c r="R26" s="113"/>
      <c r="S26" s="57"/>
      <c r="T26" s="58"/>
      <c r="U26" s="59">
        <f>SUM(U19:U25)</f>
        <v>337</v>
      </c>
      <c r="V26" s="59">
        <f>SUM(V19:V25)</f>
        <v>383.8</v>
      </c>
    </row>
    <row r="27" spans="1:23" ht="15" customHeight="1">
      <c r="A27" s="114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6"/>
      <c r="W27" s="2"/>
    </row>
    <row r="28" spans="1:23" s="6" customFormat="1" ht="15" customHeight="1">
      <c r="A28" s="103" t="s">
        <v>5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46"/>
      <c r="N28" s="47">
        <f>N26</f>
        <v>39</v>
      </c>
      <c r="O28" s="48">
        <f>O26</f>
        <v>2056</v>
      </c>
      <c r="P28" s="117">
        <f>P26</f>
        <v>1.9519499999999999</v>
      </c>
      <c r="Q28" s="117"/>
      <c r="R28" s="117"/>
      <c r="S28" s="49"/>
      <c r="T28" s="49"/>
      <c r="U28" s="50">
        <f>U26</f>
        <v>337</v>
      </c>
      <c r="V28" s="50">
        <f>V26</f>
        <v>383.8</v>
      </c>
      <c r="W28" s="5"/>
    </row>
    <row r="29" spans="1:23" ht="15" customHeight="1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</row>
    <row r="30" spans="1:23" s="7" customFormat="1" ht="30" customHeight="1">
      <c r="A30" s="106" t="s">
        <v>10</v>
      </c>
      <c r="B30" s="106"/>
      <c r="C30" s="106"/>
      <c r="D30" s="103" t="str">
        <f>D17</f>
        <v>COLOR</v>
      </c>
      <c r="E30" s="103"/>
      <c r="F30" s="103"/>
      <c r="G30" s="51" t="str">
        <f t="shared" ref="G30:L30" si="7">G18</f>
        <v>S</v>
      </c>
      <c r="H30" s="51" t="str">
        <f t="shared" si="7"/>
        <v>M</v>
      </c>
      <c r="I30" s="51" t="str">
        <f t="shared" si="7"/>
        <v>L</v>
      </c>
      <c r="J30" s="51" t="str">
        <f t="shared" si="7"/>
        <v>XL</v>
      </c>
      <c r="K30" s="51" t="str">
        <f t="shared" si="7"/>
        <v>XXL</v>
      </c>
      <c r="L30" s="51" t="str">
        <f t="shared" si="7"/>
        <v>3XL</v>
      </c>
      <c r="M30" s="103" t="s">
        <v>2</v>
      </c>
      <c r="N30" s="103"/>
      <c r="O30" s="69"/>
      <c r="P30" s="69"/>
      <c r="S30" s="69"/>
      <c r="T30" s="69"/>
      <c r="U30" s="69"/>
      <c r="V30" s="69"/>
    </row>
    <row r="31" spans="1:23" s="7" customFormat="1" ht="24.95" customHeight="1">
      <c r="A31" s="119" t="s">
        <v>12</v>
      </c>
      <c r="B31" s="119"/>
      <c r="C31" s="119"/>
      <c r="D31" s="120" t="str">
        <f>D19</f>
        <v>Kea Green</v>
      </c>
      <c r="E31" s="121"/>
      <c r="F31" s="121"/>
      <c r="G31" s="64">
        <v>400</v>
      </c>
      <c r="H31" s="64">
        <v>450</v>
      </c>
      <c r="I31" s="64">
        <v>450</v>
      </c>
      <c r="J31" s="64">
        <v>400</v>
      </c>
      <c r="K31" s="64">
        <v>300</v>
      </c>
      <c r="L31" s="64"/>
      <c r="M31" s="122">
        <f>G31+H31+I31+J31+K31+L31</f>
        <v>2000</v>
      </c>
      <c r="N31" s="122"/>
      <c r="O31" s="22"/>
      <c r="P31" s="21"/>
      <c r="S31" s="69"/>
      <c r="T31" s="69"/>
      <c r="U31" s="69"/>
      <c r="V31" s="69"/>
    </row>
    <row r="32" spans="1:23" s="7" customFormat="1" ht="24.95" customHeight="1">
      <c r="A32" s="119" t="s">
        <v>30</v>
      </c>
      <c r="B32" s="119"/>
      <c r="C32" s="119"/>
      <c r="D32" s="121"/>
      <c r="E32" s="121"/>
      <c r="F32" s="121"/>
      <c r="G32" s="64">
        <f t="shared" ref="G32:K32" si="8">G26</f>
        <v>405</v>
      </c>
      <c r="H32" s="64">
        <f t="shared" si="8"/>
        <v>461</v>
      </c>
      <c r="I32" s="64">
        <f t="shared" si="8"/>
        <v>468</v>
      </c>
      <c r="J32" s="64">
        <f t="shared" si="8"/>
        <v>416</v>
      </c>
      <c r="K32" s="64">
        <f t="shared" si="8"/>
        <v>306</v>
      </c>
      <c r="L32" s="64">
        <f>L26</f>
        <v>0</v>
      </c>
      <c r="M32" s="122">
        <f>G32+H32+I32+J32+K32+L32</f>
        <v>2056</v>
      </c>
      <c r="N32" s="122"/>
      <c r="O32" s="22"/>
      <c r="P32" s="21"/>
      <c r="S32" s="69"/>
      <c r="T32" s="69"/>
      <c r="U32" s="69"/>
      <c r="V32" s="69"/>
    </row>
  </sheetData>
  <mergeCells count="40">
    <mergeCell ref="A31:C31"/>
    <mergeCell ref="D31:F32"/>
    <mergeCell ref="M31:N31"/>
    <mergeCell ref="A32:C32"/>
    <mergeCell ref="M32:N32"/>
    <mergeCell ref="A27:V27"/>
    <mergeCell ref="A28:L28"/>
    <mergeCell ref="P28:R28"/>
    <mergeCell ref="A29:V29"/>
    <mergeCell ref="A30:C30"/>
    <mergeCell ref="D30:F30"/>
    <mergeCell ref="M30:N30"/>
    <mergeCell ref="D19:F25"/>
    <mergeCell ref="P19:P25"/>
    <mergeCell ref="Q19:Q25"/>
    <mergeCell ref="R19:R25"/>
    <mergeCell ref="A26:F26"/>
    <mergeCell ref="P26:R26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F6C69-6583-453A-A019-78D755AE3C89}">
  <sheetPr>
    <tabColor rgb="FF92D050"/>
    <pageSetUpPr fitToPage="1"/>
  </sheetPr>
  <dimension ref="A1:W32"/>
  <sheetViews>
    <sheetView showGridLines="0" view="pageBreakPreview" topLeftCell="A15" zoomScaleNormal="62" zoomScaleSheetLayoutView="100" workbookViewId="0">
      <selection activeCell="T32" sqref="T32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164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165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1470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M32</f>
        <v>1507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37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N28</f>
        <v>29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88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65" t="s">
        <v>22</v>
      </c>
      <c r="J18" s="65" t="s">
        <v>93</v>
      </c>
      <c r="K18" s="65" t="s">
        <v>94</v>
      </c>
      <c r="L18" s="65" t="s">
        <v>95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5</v>
      </c>
      <c r="D19" s="109" t="s">
        <v>163</v>
      </c>
      <c r="E19" s="109"/>
      <c r="F19" s="109"/>
      <c r="G19" s="17">
        <v>60</v>
      </c>
      <c r="H19" s="18"/>
      <c r="I19" s="18"/>
      <c r="J19" s="19"/>
      <c r="K19" s="19"/>
      <c r="L19" s="19"/>
      <c r="M19" s="18">
        <f t="shared" ref="M19:M25" si="0">SUM(G19:L19)</f>
        <v>60</v>
      </c>
      <c r="N19" s="20">
        <v>5</v>
      </c>
      <c r="O19" s="28">
        <f t="shared" ref="O19:O25" si="1">M19*N19</f>
        <v>300</v>
      </c>
      <c r="P19" s="110">
        <v>55</v>
      </c>
      <c r="Q19" s="110">
        <v>35</v>
      </c>
      <c r="R19" s="111">
        <v>26</v>
      </c>
      <c r="S19" s="39">
        <v>8.5500000000000007</v>
      </c>
      <c r="T19" s="39">
        <f>S19+1.2</f>
        <v>9.75</v>
      </c>
      <c r="U19" s="39">
        <f t="shared" ref="U19:U25" si="2">S19*N19</f>
        <v>42.75</v>
      </c>
      <c r="V19" s="39">
        <f t="shared" ref="V19:V25" si="3">T19*N19</f>
        <v>48.75</v>
      </c>
      <c r="W19" s="3"/>
    </row>
    <row r="20" spans="1:23" s="4" customFormat="1" ht="18" customHeight="1">
      <c r="A20" s="25">
        <f>C19+1</f>
        <v>6</v>
      </c>
      <c r="B20" s="26" t="s">
        <v>25</v>
      </c>
      <c r="C20" s="25">
        <f>C19+N20</f>
        <v>9</v>
      </c>
      <c r="D20" s="109"/>
      <c r="E20" s="109"/>
      <c r="F20" s="109"/>
      <c r="G20" s="17"/>
      <c r="H20" s="18">
        <v>60</v>
      </c>
      <c r="I20" s="18"/>
      <c r="J20" s="19"/>
      <c r="K20" s="19"/>
      <c r="L20" s="19"/>
      <c r="M20" s="18">
        <f t="shared" si="0"/>
        <v>60</v>
      </c>
      <c r="N20" s="20">
        <v>4</v>
      </c>
      <c r="O20" s="28">
        <f t="shared" si="1"/>
        <v>240</v>
      </c>
      <c r="P20" s="110"/>
      <c r="Q20" s="110"/>
      <c r="R20" s="111"/>
      <c r="S20" s="39">
        <v>9.0500000000000007</v>
      </c>
      <c r="T20" s="39">
        <f t="shared" ref="T20:T25" si="4">S20+1.2</f>
        <v>10.25</v>
      </c>
      <c r="U20" s="39">
        <f t="shared" si="2"/>
        <v>36.200000000000003</v>
      </c>
      <c r="V20" s="39">
        <f t="shared" si="3"/>
        <v>41</v>
      </c>
      <c r="W20" s="3"/>
    </row>
    <row r="21" spans="1:23" s="4" customFormat="1" ht="18" customHeight="1">
      <c r="A21" s="25">
        <f t="shared" ref="A21:A25" si="5">C20+1</f>
        <v>10</v>
      </c>
      <c r="B21" s="26" t="s">
        <v>25</v>
      </c>
      <c r="C21" s="25">
        <f>C20+N21</f>
        <v>17</v>
      </c>
      <c r="D21" s="109"/>
      <c r="E21" s="109"/>
      <c r="F21" s="109"/>
      <c r="G21" s="17"/>
      <c r="H21" s="18"/>
      <c r="I21" s="18">
        <v>50</v>
      </c>
      <c r="J21" s="19"/>
      <c r="K21" s="19"/>
      <c r="L21" s="19"/>
      <c r="M21" s="18">
        <f t="shared" si="0"/>
        <v>50</v>
      </c>
      <c r="N21" s="20">
        <v>8</v>
      </c>
      <c r="O21" s="28">
        <f t="shared" si="1"/>
        <v>400</v>
      </c>
      <c r="P21" s="110"/>
      <c r="Q21" s="110"/>
      <c r="R21" s="111"/>
      <c r="S21" s="39">
        <v>8.1999999999999993</v>
      </c>
      <c r="T21" s="39">
        <f t="shared" si="4"/>
        <v>9.3999999999999986</v>
      </c>
      <c r="U21" s="39">
        <f t="shared" si="2"/>
        <v>65.599999999999994</v>
      </c>
      <c r="V21" s="39">
        <f t="shared" si="3"/>
        <v>75.199999999999989</v>
      </c>
      <c r="W21" s="3"/>
    </row>
    <row r="22" spans="1:23" s="4" customFormat="1" ht="18" customHeight="1">
      <c r="A22" s="25">
        <f t="shared" si="5"/>
        <v>18</v>
      </c>
      <c r="B22" s="26" t="s">
        <v>25</v>
      </c>
      <c r="C22" s="25">
        <f>C21+N22</f>
        <v>22</v>
      </c>
      <c r="D22" s="109"/>
      <c r="E22" s="109"/>
      <c r="F22" s="109"/>
      <c r="G22" s="17"/>
      <c r="H22" s="18"/>
      <c r="I22" s="18"/>
      <c r="J22" s="19">
        <v>50</v>
      </c>
      <c r="K22" s="19"/>
      <c r="L22" s="19"/>
      <c r="M22" s="18">
        <f t="shared" si="0"/>
        <v>50</v>
      </c>
      <c r="N22" s="20">
        <v>5</v>
      </c>
      <c r="O22" s="28">
        <f t="shared" si="1"/>
        <v>250</v>
      </c>
      <c r="P22" s="110"/>
      <c r="Q22" s="110"/>
      <c r="R22" s="111"/>
      <c r="S22" s="39">
        <v>8.75</v>
      </c>
      <c r="T22" s="39">
        <f t="shared" si="4"/>
        <v>9.9499999999999993</v>
      </c>
      <c r="U22" s="39">
        <f t="shared" si="2"/>
        <v>43.75</v>
      </c>
      <c r="V22" s="39">
        <f t="shared" si="3"/>
        <v>49.75</v>
      </c>
      <c r="W22" s="3"/>
    </row>
    <row r="23" spans="1:23" s="4" customFormat="1" ht="18" customHeight="1">
      <c r="A23" s="25">
        <f t="shared" si="5"/>
        <v>23</v>
      </c>
      <c r="B23" s="26" t="s">
        <v>25</v>
      </c>
      <c r="C23" s="25">
        <f>C22+N23</f>
        <v>27</v>
      </c>
      <c r="D23" s="109"/>
      <c r="E23" s="109"/>
      <c r="F23" s="109"/>
      <c r="G23" s="17"/>
      <c r="H23" s="18"/>
      <c r="I23" s="18"/>
      <c r="J23" s="19"/>
      <c r="K23" s="19">
        <v>40</v>
      </c>
      <c r="L23" s="19"/>
      <c r="M23" s="18">
        <f t="shared" si="0"/>
        <v>40</v>
      </c>
      <c r="N23" s="20">
        <v>5</v>
      </c>
      <c r="O23" s="28">
        <f t="shared" si="1"/>
        <v>200</v>
      </c>
      <c r="P23" s="110"/>
      <c r="Q23" s="110"/>
      <c r="R23" s="111"/>
      <c r="S23" s="39">
        <v>7.6</v>
      </c>
      <c r="T23" s="39">
        <f t="shared" si="4"/>
        <v>8.7999999999999989</v>
      </c>
      <c r="U23" s="39">
        <f t="shared" si="2"/>
        <v>38</v>
      </c>
      <c r="V23" s="39">
        <f t="shared" si="3"/>
        <v>43.999999999999993</v>
      </c>
      <c r="W23" s="3"/>
    </row>
    <row r="24" spans="1:23" s="4" customFormat="1" ht="18" customHeight="1">
      <c r="A24" s="25">
        <f t="shared" si="5"/>
        <v>28</v>
      </c>
      <c r="B24" s="26" t="s">
        <v>25</v>
      </c>
      <c r="C24" s="25">
        <f t="shared" ref="C24:C25" si="6">C23+N24</f>
        <v>28</v>
      </c>
      <c r="D24" s="109"/>
      <c r="E24" s="109"/>
      <c r="F24" s="109"/>
      <c r="G24" s="17">
        <v>53</v>
      </c>
      <c r="H24" s="18"/>
      <c r="I24" s="18"/>
      <c r="J24" s="19"/>
      <c r="K24" s="19"/>
      <c r="L24" s="19"/>
      <c r="M24" s="18">
        <f t="shared" si="0"/>
        <v>53</v>
      </c>
      <c r="N24" s="20">
        <v>1</v>
      </c>
      <c r="O24" s="28">
        <f t="shared" si="1"/>
        <v>53</v>
      </c>
      <c r="P24" s="110"/>
      <c r="Q24" s="110"/>
      <c r="R24" s="111"/>
      <c r="S24" s="39">
        <v>7.6</v>
      </c>
      <c r="T24" s="39">
        <f t="shared" si="4"/>
        <v>8.7999999999999989</v>
      </c>
      <c r="U24" s="39">
        <f t="shared" si="2"/>
        <v>7.6</v>
      </c>
      <c r="V24" s="39">
        <f t="shared" si="3"/>
        <v>8.7999999999999989</v>
      </c>
      <c r="W24" s="3"/>
    </row>
    <row r="25" spans="1:23" s="4" customFormat="1" ht="18" customHeight="1">
      <c r="A25" s="25">
        <f t="shared" si="5"/>
        <v>29</v>
      </c>
      <c r="B25" s="26" t="s">
        <v>25</v>
      </c>
      <c r="C25" s="25">
        <f t="shared" si="6"/>
        <v>29</v>
      </c>
      <c r="D25" s="109"/>
      <c r="E25" s="109"/>
      <c r="F25" s="109"/>
      <c r="G25" s="17"/>
      <c r="H25" s="18">
        <v>28</v>
      </c>
      <c r="I25" s="18">
        <v>9</v>
      </c>
      <c r="J25" s="19">
        <v>20</v>
      </c>
      <c r="K25" s="19">
        <v>7</v>
      </c>
      <c r="L25" s="19"/>
      <c r="M25" s="18">
        <f t="shared" si="0"/>
        <v>64</v>
      </c>
      <c r="N25" s="20">
        <v>1</v>
      </c>
      <c r="O25" s="28">
        <f t="shared" si="1"/>
        <v>64</v>
      </c>
      <c r="P25" s="110"/>
      <c r="Q25" s="110"/>
      <c r="R25" s="111"/>
      <c r="S25" s="39">
        <v>10.5</v>
      </c>
      <c r="T25" s="39">
        <f t="shared" si="4"/>
        <v>11.7</v>
      </c>
      <c r="U25" s="39">
        <f t="shared" si="2"/>
        <v>10.5</v>
      </c>
      <c r="V25" s="39">
        <f t="shared" si="3"/>
        <v>11.7</v>
      </c>
      <c r="W25" s="3"/>
    </row>
    <row r="26" spans="1:23" s="23" customFormat="1" ht="21.95" customHeight="1">
      <c r="A26" s="112" t="s">
        <v>2</v>
      </c>
      <c r="B26" s="112"/>
      <c r="C26" s="112"/>
      <c r="D26" s="112"/>
      <c r="E26" s="112"/>
      <c r="F26" s="112"/>
      <c r="G26" s="52">
        <f>O19+G24</f>
        <v>353</v>
      </c>
      <c r="H26" s="53">
        <f>O20+H25</f>
        <v>268</v>
      </c>
      <c r="I26" s="53">
        <f>O21+I25</f>
        <v>409</v>
      </c>
      <c r="J26" s="53">
        <f>O22+J25</f>
        <v>270</v>
      </c>
      <c r="K26" s="53">
        <f>O23+K25</f>
        <v>207</v>
      </c>
      <c r="L26" s="53"/>
      <c r="M26" s="54"/>
      <c r="N26" s="55">
        <f>SUM(N19:N25)</f>
        <v>29</v>
      </c>
      <c r="O26" s="56">
        <f>SUM(O19:O25)</f>
        <v>1507</v>
      </c>
      <c r="P26" s="113">
        <f>(P19*Q19*R19)/1000000*N26</f>
        <v>1.4514499999999999</v>
      </c>
      <c r="Q26" s="113"/>
      <c r="R26" s="113"/>
      <c r="S26" s="57"/>
      <c r="T26" s="58"/>
      <c r="U26" s="59">
        <f>SUM(U19:U25)</f>
        <v>244.4</v>
      </c>
      <c r="V26" s="59">
        <f>SUM(V19:V25)</f>
        <v>279.2</v>
      </c>
    </row>
    <row r="27" spans="1:23" ht="15" customHeight="1">
      <c r="A27" s="114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6"/>
      <c r="W27" s="2"/>
    </row>
    <row r="28" spans="1:23" s="6" customFormat="1" ht="15" customHeight="1">
      <c r="A28" s="103" t="s">
        <v>5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46"/>
      <c r="N28" s="47">
        <f>N26</f>
        <v>29</v>
      </c>
      <c r="O28" s="48">
        <f>O26</f>
        <v>1507</v>
      </c>
      <c r="P28" s="117">
        <f>P26</f>
        <v>1.4514499999999999</v>
      </c>
      <c r="Q28" s="117"/>
      <c r="R28" s="117"/>
      <c r="S28" s="49"/>
      <c r="T28" s="49"/>
      <c r="U28" s="50">
        <f>U26</f>
        <v>244.4</v>
      </c>
      <c r="V28" s="50">
        <f>V26</f>
        <v>279.2</v>
      </c>
      <c r="W28" s="5"/>
    </row>
    <row r="29" spans="1:23" ht="15" customHeight="1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</row>
    <row r="30" spans="1:23" s="7" customFormat="1" ht="30" customHeight="1">
      <c r="A30" s="106" t="s">
        <v>10</v>
      </c>
      <c r="B30" s="106"/>
      <c r="C30" s="106"/>
      <c r="D30" s="103" t="str">
        <f>D17</f>
        <v>COLOR</v>
      </c>
      <c r="E30" s="103"/>
      <c r="F30" s="103"/>
      <c r="G30" s="51" t="str">
        <f t="shared" ref="G30:L30" si="7">G18</f>
        <v>S</v>
      </c>
      <c r="H30" s="51" t="str">
        <f t="shared" si="7"/>
        <v>M</v>
      </c>
      <c r="I30" s="51" t="str">
        <f t="shared" si="7"/>
        <v>L</v>
      </c>
      <c r="J30" s="51" t="str">
        <f t="shared" si="7"/>
        <v>XL</v>
      </c>
      <c r="K30" s="51" t="str">
        <f t="shared" si="7"/>
        <v>XXL</v>
      </c>
      <c r="L30" s="51" t="str">
        <f t="shared" si="7"/>
        <v>3XL</v>
      </c>
      <c r="M30" s="103" t="s">
        <v>2</v>
      </c>
      <c r="N30" s="103"/>
      <c r="O30" s="69"/>
      <c r="P30" s="69"/>
      <c r="S30" s="69"/>
      <c r="T30" s="69"/>
      <c r="U30" s="69"/>
      <c r="V30" s="69"/>
    </row>
    <row r="31" spans="1:23" s="7" customFormat="1" ht="24.95" customHeight="1">
      <c r="A31" s="119" t="s">
        <v>12</v>
      </c>
      <c r="B31" s="119"/>
      <c r="C31" s="119"/>
      <c r="D31" s="120" t="str">
        <f>D19</f>
        <v>Lake Green</v>
      </c>
      <c r="E31" s="121"/>
      <c r="F31" s="121"/>
      <c r="G31" s="64">
        <v>350</v>
      </c>
      <c r="H31" s="64">
        <v>260</v>
      </c>
      <c r="I31" s="64">
        <v>400</v>
      </c>
      <c r="J31" s="64">
        <v>260</v>
      </c>
      <c r="K31" s="64">
        <v>200</v>
      </c>
      <c r="L31" s="64"/>
      <c r="M31" s="122">
        <f>G31+H31+I31+J31+K31+L31</f>
        <v>1470</v>
      </c>
      <c r="N31" s="122"/>
      <c r="O31" s="22"/>
      <c r="P31" s="21"/>
      <c r="S31" s="69"/>
      <c r="T31" s="69"/>
      <c r="U31" s="69"/>
      <c r="V31" s="69"/>
    </row>
    <row r="32" spans="1:23" s="7" customFormat="1" ht="24.95" customHeight="1">
      <c r="A32" s="119" t="s">
        <v>30</v>
      </c>
      <c r="B32" s="119"/>
      <c r="C32" s="119"/>
      <c r="D32" s="121"/>
      <c r="E32" s="121"/>
      <c r="F32" s="121"/>
      <c r="G32" s="64">
        <f t="shared" ref="G32:K32" si="8">G26</f>
        <v>353</v>
      </c>
      <c r="H32" s="64">
        <f t="shared" si="8"/>
        <v>268</v>
      </c>
      <c r="I32" s="64">
        <f t="shared" si="8"/>
        <v>409</v>
      </c>
      <c r="J32" s="64">
        <f t="shared" si="8"/>
        <v>270</v>
      </c>
      <c r="K32" s="64">
        <f t="shared" si="8"/>
        <v>207</v>
      </c>
      <c r="L32" s="64"/>
      <c r="M32" s="122">
        <f>G32+H32+I32+J32+K32+L32</f>
        <v>1507</v>
      </c>
      <c r="N32" s="122"/>
      <c r="O32" s="22"/>
      <c r="P32" s="21"/>
      <c r="S32" s="69"/>
      <c r="T32" s="69"/>
      <c r="U32" s="69"/>
      <c r="V32" s="69"/>
    </row>
  </sheetData>
  <mergeCells count="40">
    <mergeCell ref="A31:C31"/>
    <mergeCell ref="D31:F32"/>
    <mergeCell ref="M31:N31"/>
    <mergeCell ref="A32:C32"/>
    <mergeCell ref="M32:N32"/>
    <mergeCell ref="A27:V27"/>
    <mergeCell ref="A28:L28"/>
    <mergeCell ref="P28:R28"/>
    <mergeCell ref="A29:V29"/>
    <mergeCell ref="A30:C30"/>
    <mergeCell ref="D30:F30"/>
    <mergeCell ref="M30:N30"/>
    <mergeCell ref="D19:F25"/>
    <mergeCell ref="P19:P25"/>
    <mergeCell ref="Q19:Q25"/>
    <mergeCell ref="R19:R25"/>
    <mergeCell ref="A26:F26"/>
    <mergeCell ref="P26:R26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C2B7C-285A-46CF-83FC-13C7A5765803}">
  <sheetPr>
    <tabColor theme="9" tint="-0.249977111117893"/>
    <pageSetUpPr fitToPage="1"/>
  </sheetPr>
  <dimension ref="A1:W32"/>
  <sheetViews>
    <sheetView showGridLines="0" view="pageBreakPreview" topLeftCell="A15" zoomScaleNormal="62" zoomScaleSheetLayoutView="100" workbookViewId="0">
      <selection activeCell="Q32" sqref="Q32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174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175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1610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M32</f>
        <v>1604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-6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N28</f>
        <v>32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89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65" t="s">
        <v>22</v>
      </c>
      <c r="J18" s="65" t="s">
        <v>93</v>
      </c>
      <c r="K18" s="65" t="s">
        <v>94</v>
      </c>
      <c r="L18" s="65" t="s">
        <v>95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4</v>
      </c>
      <c r="D19" s="109" t="s">
        <v>176</v>
      </c>
      <c r="E19" s="109"/>
      <c r="F19" s="109"/>
      <c r="G19" s="17">
        <v>60</v>
      </c>
      <c r="H19" s="18"/>
      <c r="I19" s="18"/>
      <c r="J19" s="19"/>
      <c r="K19" s="19"/>
      <c r="L19" s="19"/>
      <c r="M19" s="18">
        <f t="shared" ref="M19:M25" si="0">SUM(G19:L19)</f>
        <v>60</v>
      </c>
      <c r="N19" s="20">
        <v>4</v>
      </c>
      <c r="O19" s="28">
        <f t="shared" ref="O19:O25" si="1">M19*N19</f>
        <v>240</v>
      </c>
      <c r="P19" s="110">
        <v>55</v>
      </c>
      <c r="Q19" s="110">
        <v>35</v>
      </c>
      <c r="R19" s="111">
        <v>26</v>
      </c>
      <c r="S19" s="39">
        <v>8.5</v>
      </c>
      <c r="T19" s="39">
        <f>S19+1.2</f>
        <v>9.6999999999999993</v>
      </c>
      <c r="U19" s="39">
        <f t="shared" ref="U19:U25" si="2">S19*N19</f>
        <v>34</v>
      </c>
      <c r="V19" s="39">
        <f t="shared" ref="V19:V25" si="3">T19*N19</f>
        <v>38.799999999999997</v>
      </c>
      <c r="W19" s="3"/>
    </row>
    <row r="20" spans="1:23" s="4" customFormat="1" ht="18" customHeight="1">
      <c r="A20" s="25">
        <f>C19+1</f>
        <v>5</v>
      </c>
      <c r="B20" s="26" t="s">
        <v>25</v>
      </c>
      <c r="C20" s="25">
        <f>C19+N20</f>
        <v>9</v>
      </c>
      <c r="D20" s="109"/>
      <c r="E20" s="109"/>
      <c r="F20" s="109"/>
      <c r="G20" s="17"/>
      <c r="H20" s="18">
        <v>60</v>
      </c>
      <c r="I20" s="18"/>
      <c r="J20" s="19"/>
      <c r="K20" s="19"/>
      <c r="L20" s="19"/>
      <c r="M20" s="18">
        <f t="shared" si="0"/>
        <v>60</v>
      </c>
      <c r="N20" s="20">
        <v>5</v>
      </c>
      <c r="O20" s="28">
        <f t="shared" si="1"/>
        <v>300</v>
      </c>
      <c r="P20" s="110"/>
      <c r="Q20" s="110"/>
      <c r="R20" s="111"/>
      <c r="S20" s="39">
        <v>9.1999999999999993</v>
      </c>
      <c r="T20" s="39">
        <f t="shared" ref="T20:T25" si="4">S20+1.2</f>
        <v>10.399999999999999</v>
      </c>
      <c r="U20" s="39">
        <f t="shared" si="2"/>
        <v>46</v>
      </c>
      <c r="V20" s="39">
        <f t="shared" si="3"/>
        <v>51.999999999999993</v>
      </c>
      <c r="W20" s="3"/>
    </row>
    <row r="21" spans="1:23" s="4" customFormat="1" ht="18" customHeight="1">
      <c r="A21" s="25">
        <f t="shared" ref="A21:A25" si="5">C20+1</f>
        <v>10</v>
      </c>
      <c r="B21" s="26" t="s">
        <v>25</v>
      </c>
      <c r="C21" s="25">
        <f>C20+N21</f>
        <v>16</v>
      </c>
      <c r="D21" s="109"/>
      <c r="E21" s="109"/>
      <c r="F21" s="109"/>
      <c r="G21" s="17"/>
      <c r="H21" s="18"/>
      <c r="I21" s="18">
        <v>50</v>
      </c>
      <c r="J21" s="19"/>
      <c r="K21" s="19"/>
      <c r="L21" s="19"/>
      <c r="M21" s="18">
        <f t="shared" si="0"/>
        <v>50</v>
      </c>
      <c r="N21" s="20">
        <v>7</v>
      </c>
      <c r="O21" s="28">
        <f t="shared" si="1"/>
        <v>350</v>
      </c>
      <c r="P21" s="110"/>
      <c r="Q21" s="110"/>
      <c r="R21" s="111"/>
      <c r="S21" s="39">
        <v>8.3000000000000007</v>
      </c>
      <c r="T21" s="39">
        <f t="shared" si="4"/>
        <v>9.5</v>
      </c>
      <c r="U21" s="39">
        <f t="shared" si="2"/>
        <v>58.100000000000009</v>
      </c>
      <c r="V21" s="39">
        <f t="shared" si="3"/>
        <v>66.5</v>
      </c>
      <c r="W21" s="3"/>
    </row>
    <row r="22" spans="1:23" s="4" customFormat="1" ht="18" customHeight="1">
      <c r="A22" s="25">
        <f t="shared" si="5"/>
        <v>17</v>
      </c>
      <c r="B22" s="26" t="s">
        <v>25</v>
      </c>
      <c r="C22" s="25">
        <f>C21+N22</f>
        <v>24</v>
      </c>
      <c r="D22" s="109"/>
      <c r="E22" s="109"/>
      <c r="F22" s="109"/>
      <c r="G22" s="17"/>
      <c r="H22" s="18"/>
      <c r="I22" s="18"/>
      <c r="J22" s="19">
        <v>45</v>
      </c>
      <c r="K22" s="19"/>
      <c r="L22" s="19"/>
      <c r="M22" s="18">
        <f t="shared" si="0"/>
        <v>45</v>
      </c>
      <c r="N22" s="20">
        <v>8</v>
      </c>
      <c r="O22" s="28">
        <f t="shared" si="1"/>
        <v>360</v>
      </c>
      <c r="P22" s="110"/>
      <c r="Q22" s="110"/>
      <c r="R22" s="111"/>
      <c r="S22" s="39">
        <v>8.3000000000000007</v>
      </c>
      <c r="T22" s="39">
        <f t="shared" si="4"/>
        <v>9.5</v>
      </c>
      <c r="U22" s="39">
        <f t="shared" si="2"/>
        <v>66.400000000000006</v>
      </c>
      <c r="V22" s="39">
        <f t="shared" si="3"/>
        <v>76</v>
      </c>
      <c r="W22" s="3"/>
    </row>
    <row r="23" spans="1:23" s="4" customFormat="1" ht="18" customHeight="1">
      <c r="A23" s="25">
        <f t="shared" si="5"/>
        <v>25</v>
      </c>
      <c r="B23" s="26" t="s">
        <v>25</v>
      </c>
      <c r="C23" s="25">
        <f>C22+N23</f>
        <v>30</v>
      </c>
      <c r="D23" s="109"/>
      <c r="E23" s="109"/>
      <c r="F23" s="109"/>
      <c r="G23" s="17"/>
      <c r="H23" s="18"/>
      <c r="I23" s="18"/>
      <c r="J23" s="19"/>
      <c r="K23" s="19">
        <v>45</v>
      </c>
      <c r="L23" s="19"/>
      <c r="M23" s="18">
        <f t="shared" si="0"/>
        <v>45</v>
      </c>
      <c r="N23" s="20">
        <v>6</v>
      </c>
      <c r="O23" s="28">
        <f t="shared" si="1"/>
        <v>270</v>
      </c>
      <c r="P23" s="110"/>
      <c r="Q23" s="110"/>
      <c r="R23" s="111"/>
      <c r="S23" s="39">
        <v>9.1</v>
      </c>
      <c r="T23" s="39">
        <f t="shared" si="4"/>
        <v>10.299999999999999</v>
      </c>
      <c r="U23" s="39">
        <f t="shared" si="2"/>
        <v>54.599999999999994</v>
      </c>
      <c r="V23" s="39">
        <f t="shared" si="3"/>
        <v>61.8</v>
      </c>
      <c r="W23" s="3"/>
    </row>
    <row r="24" spans="1:23" s="4" customFormat="1" ht="18" customHeight="1">
      <c r="A24" s="25">
        <f t="shared" si="5"/>
        <v>31</v>
      </c>
      <c r="B24" s="26" t="s">
        <v>25</v>
      </c>
      <c r="C24" s="25">
        <f t="shared" ref="C24:C25" si="6">C23+N24</f>
        <v>31</v>
      </c>
      <c r="D24" s="109"/>
      <c r="E24" s="109"/>
      <c r="F24" s="109"/>
      <c r="G24" s="17">
        <v>32</v>
      </c>
      <c r="H24" s="18"/>
      <c r="I24" s="18"/>
      <c r="J24" s="19"/>
      <c r="K24" s="19"/>
      <c r="L24" s="19"/>
      <c r="M24" s="18">
        <f t="shared" si="0"/>
        <v>32</v>
      </c>
      <c r="N24" s="20">
        <v>1</v>
      </c>
      <c r="O24" s="28">
        <f t="shared" si="1"/>
        <v>32</v>
      </c>
      <c r="P24" s="110"/>
      <c r="Q24" s="110"/>
      <c r="R24" s="111"/>
      <c r="S24" s="39">
        <v>8.6</v>
      </c>
      <c r="T24" s="39">
        <f t="shared" si="4"/>
        <v>9.7999999999999989</v>
      </c>
      <c r="U24" s="39">
        <f t="shared" si="2"/>
        <v>8.6</v>
      </c>
      <c r="V24" s="39">
        <f t="shared" si="3"/>
        <v>9.7999999999999989</v>
      </c>
      <c r="W24" s="3"/>
    </row>
    <row r="25" spans="1:23" s="4" customFormat="1" ht="18" customHeight="1">
      <c r="A25" s="25">
        <f t="shared" si="5"/>
        <v>32</v>
      </c>
      <c r="B25" s="26" t="s">
        <v>25</v>
      </c>
      <c r="C25" s="25">
        <f t="shared" si="6"/>
        <v>32</v>
      </c>
      <c r="D25" s="109"/>
      <c r="E25" s="109"/>
      <c r="F25" s="109"/>
      <c r="G25" s="17"/>
      <c r="H25" s="18"/>
      <c r="I25" s="18"/>
      <c r="J25" s="19">
        <v>22</v>
      </c>
      <c r="K25" s="19">
        <v>30</v>
      </c>
      <c r="L25" s="19"/>
      <c r="M25" s="18">
        <f t="shared" si="0"/>
        <v>52</v>
      </c>
      <c r="N25" s="20">
        <v>1</v>
      </c>
      <c r="O25" s="28">
        <f t="shared" si="1"/>
        <v>52</v>
      </c>
      <c r="P25" s="110"/>
      <c r="Q25" s="110"/>
      <c r="R25" s="111"/>
      <c r="S25" s="39">
        <v>8.4</v>
      </c>
      <c r="T25" s="39">
        <f t="shared" si="4"/>
        <v>9.6</v>
      </c>
      <c r="U25" s="39">
        <f t="shared" si="2"/>
        <v>8.4</v>
      </c>
      <c r="V25" s="39">
        <f t="shared" si="3"/>
        <v>9.6</v>
      </c>
      <c r="W25" s="3"/>
    </row>
    <row r="26" spans="1:23" s="23" customFormat="1" ht="21.95" customHeight="1">
      <c r="A26" s="112" t="s">
        <v>2</v>
      </c>
      <c r="B26" s="112"/>
      <c r="C26" s="112"/>
      <c r="D26" s="112"/>
      <c r="E26" s="112"/>
      <c r="F26" s="112"/>
      <c r="G26" s="52">
        <f>O19+G24</f>
        <v>272</v>
      </c>
      <c r="H26" s="53">
        <f>O20+H25</f>
        <v>300</v>
      </c>
      <c r="I26" s="53">
        <f>O21</f>
        <v>350</v>
      </c>
      <c r="J26" s="53">
        <f>O22+J25</f>
        <v>382</v>
      </c>
      <c r="K26" s="53">
        <f>O23+K25</f>
        <v>300</v>
      </c>
      <c r="L26" s="53"/>
      <c r="M26" s="54"/>
      <c r="N26" s="55">
        <f>SUM(N19:N25)</f>
        <v>32</v>
      </c>
      <c r="O26" s="56">
        <f>SUM(O19:O25)</f>
        <v>1604</v>
      </c>
      <c r="P26" s="113">
        <f>(P19*Q19*R19)/1000000*N26</f>
        <v>1.6015999999999999</v>
      </c>
      <c r="Q26" s="113"/>
      <c r="R26" s="113"/>
      <c r="S26" s="57"/>
      <c r="T26" s="58"/>
      <c r="U26" s="59">
        <f>SUM(U19:U25)</f>
        <v>276.10000000000002</v>
      </c>
      <c r="V26" s="59">
        <f>SUM(V19:V25)</f>
        <v>314.5</v>
      </c>
    </row>
    <row r="27" spans="1:23" ht="15" customHeight="1">
      <c r="A27" s="114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6"/>
      <c r="W27" s="2"/>
    </row>
    <row r="28" spans="1:23" s="6" customFormat="1" ht="15" customHeight="1">
      <c r="A28" s="103" t="s">
        <v>5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46"/>
      <c r="N28" s="47">
        <f>N26</f>
        <v>32</v>
      </c>
      <c r="O28" s="48">
        <f>O26</f>
        <v>1604</v>
      </c>
      <c r="P28" s="117">
        <f>P26</f>
        <v>1.6015999999999999</v>
      </c>
      <c r="Q28" s="117"/>
      <c r="R28" s="117"/>
      <c r="S28" s="49"/>
      <c r="T28" s="49"/>
      <c r="U28" s="50">
        <f>U26</f>
        <v>276.10000000000002</v>
      </c>
      <c r="V28" s="50">
        <f>V26</f>
        <v>314.5</v>
      </c>
      <c r="W28" s="5"/>
    </row>
    <row r="29" spans="1:23" ht="15" customHeight="1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</row>
    <row r="30" spans="1:23" s="7" customFormat="1" ht="30" customHeight="1">
      <c r="A30" s="106" t="s">
        <v>10</v>
      </c>
      <c r="B30" s="106"/>
      <c r="C30" s="106"/>
      <c r="D30" s="103" t="str">
        <f>D17</f>
        <v>COLOR</v>
      </c>
      <c r="E30" s="103"/>
      <c r="F30" s="103"/>
      <c r="G30" s="51" t="str">
        <f>G18</f>
        <v>S</v>
      </c>
      <c r="H30" s="51" t="str">
        <f>H18</f>
        <v>M</v>
      </c>
      <c r="I30" s="51" t="str">
        <f>I18</f>
        <v>L</v>
      </c>
      <c r="J30" s="51" t="str">
        <f>J18</f>
        <v>XL</v>
      </c>
      <c r="K30" s="51" t="str">
        <f>K18</f>
        <v>XXL</v>
      </c>
      <c r="L30" s="51" t="str">
        <f>L18</f>
        <v>3XL</v>
      </c>
      <c r="M30" s="103" t="s">
        <v>2</v>
      </c>
      <c r="N30" s="103"/>
      <c r="O30" s="69"/>
      <c r="P30" s="69"/>
      <c r="S30" s="69"/>
      <c r="T30" s="69"/>
      <c r="U30" s="69"/>
      <c r="V30" s="69"/>
    </row>
    <row r="31" spans="1:23" s="7" customFormat="1" ht="24.95" customHeight="1">
      <c r="A31" s="119" t="s">
        <v>12</v>
      </c>
      <c r="B31" s="119"/>
      <c r="C31" s="119"/>
      <c r="D31" s="120" t="str">
        <f>D19</f>
        <v>Crabon</v>
      </c>
      <c r="E31" s="121"/>
      <c r="F31" s="121"/>
      <c r="G31" s="64">
        <v>260</v>
      </c>
      <c r="H31" s="64">
        <v>300</v>
      </c>
      <c r="I31" s="64">
        <v>350</v>
      </c>
      <c r="J31" s="64">
        <v>400</v>
      </c>
      <c r="K31" s="64">
        <v>300</v>
      </c>
      <c r="L31" s="64"/>
      <c r="M31" s="122">
        <f>G31+H31+I31+J31+K31+L31</f>
        <v>1610</v>
      </c>
      <c r="N31" s="122"/>
      <c r="O31" s="22"/>
      <c r="P31" s="21"/>
      <c r="S31" s="69"/>
      <c r="T31" s="69"/>
      <c r="U31" s="69"/>
      <c r="V31" s="69"/>
    </row>
    <row r="32" spans="1:23" s="7" customFormat="1" ht="24.95" customHeight="1">
      <c r="A32" s="119" t="s">
        <v>30</v>
      </c>
      <c r="B32" s="119"/>
      <c r="C32" s="119"/>
      <c r="D32" s="121"/>
      <c r="E32" s="121"/>
      <c r="F32" s="121"/>
      <c r="G32" s="64">
        <f t="shared" ref="G32:K32" si="7">G26</f>
        <v>272</v>
      </c>
      <c r="H32" s="64">
        <f t="shared" si="7"/>
        <v>300</v>
      </c>
      <c r="I32" s="64">
        <f t="shared" si="7"/>
        <v>350</v>
      </c>
      <c r="J32" s="64">
        <f t="shared" si="7"/>
        <v>382</v>
      </c>
      <c r="K32" s="64">
        <f t="shared" si="7"/>
        <v>300</v>
      </c>
      <c r="L32" s="64"/>
      <c r="M32" s="122">
        <f>G32+H32+I32+J32+K32+L32</f>
        <v>1604</v>
      </c>
      <c r="N32" s="122"/>
      <c r="O32" s="22"/>
      <c r="P32" s="21"/>
      <c r="S32" s="69"/>
      <c r="T32" s="69"/>
      <c r="U32" s="69"/>
      <c r="V32" s="69"/>
    </row>
  </sheetData>
  <mergeCells count="40">
    <mergeCell ref="A31:C31"/>
    <mergeCell ref="D31:F32"/>
    <mergeCell ref="M31:N31"/>
    <mergeCell ref="A32:C32"/>
    <mergeCell ref="M32:N32"/>
    <mergeCell ref="A27:V27"/>
    <mergeCell ref="A28:L28"/>
    <mergeCell ref="P28:R28"/>
    <mergeCell ref="A29:V29"/>
    <mergeCell ref="A30:C30"/>
    <mergeCell ref="D30:F30"/>
    <mergeCell ref="M30:N30"/>
    <mergeCell ref="D19:F25"/>
    <mergeCell ref="P19:P25"/>
    <mergeCell ref="Q19:Q25"/>
    <mergeCell ref="R19:R25"/>
    <mergeCell ref="A26:F26"/>
    <mergeCell ref="P26:R26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5F78-FA91-4D93-BC82-A0AB65BE2DEA}">
  <sheetPr>
    <tabColor rgb="FF92D050"/>
    <pageSetUpPr fitToPage="1"/>
  </sheetPr>
  <dimension ref="A1:W32"/>
  <sheetViews>
    <sheetView showGridLines="0" view="pageBreakPreview" topLeftCell="A18" zoomScaleNormal="62" zoomScaleSheetLayoutView="100" workbookViewId="0">
      <selection activeCell="A6" sqref="A6:V6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200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234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1130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M32</f>
        <v>1140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10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N28</f>
        <v>25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89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65" t="s">
        <v>22</v>
      </c>
      <c r="J18" s="65" t="s">
        <v>93</v>
      </c>
      <c r="K18" s="65" t="s">
        <v>94</v>
      </c>
      <c r="L18" s="65" t="s">
        <v>95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2</v>
      </c>
      <c r="D19" s="109" t="s">
        <v>99</v>
      </c>
      <c r="E19" s="109"/>
      <c r="F19" s="109"/>
      <c r="G19" s="17">
        <v>55</v>
      </c>
      <c r="H19" s="18"/>
      <c r="I19" s="18"/>
      <c r="J19" s="19"/>
      <c r="K19" s="19"/>
      <c r="L19" s="19"/>
      <c r="M19" s="18">
        <f t="shared" ref="M19:M25" si="0">SUM(G19:L19)</f>
        <v>55</v>
      </c>
      <c r="N19" s="20">
        <v>2</v>
      </c>
      <c r="O19" s="28">
        <f t="shared" ref="O19:O25" si="1">M19*N19</f>
        <v>110</v>
      </c>
      <c r="P19" s="110">
        <v>55</v>
      </c>
      <c r="Q19" s="110">
        <v>35</v>
      </c>
      <c r="R19" s="111">
        <v>26</v>
      </c>
      <c r="S19" s="39">
        <v>10.1</v>
      </c>
      <c r="T19" s="39">
        <f>S19+1.2</f>
        <v>11.299999999999999</v>
      </c>
      <c r="U19" s="39">
        <f t="shared" ref="U19:U25" si="2">S19*N19</f>
        <v>20.2</v>
      </c>
      <c r="V19" s="39">
        <f t="shared" ref="V19:V25" si="3">T19*N19</f>
        <v>22.599999999999998</v>
      </c>
      <c r="W19" s="3"/>
    </row>
    <row r="20" spans="1:23" s="4" customFormat="1" ht="18" customHeight="1">
      <c r="A20" s="25">
        <f>C19+1</f>
        <v>3</v>
      </c>
      <c r="B20" s="26" t="s">
        <v>25</v>
      </c>
      <c r="C20" s="25">
        <f>C19+N20</f>
        <v>8</v>
      </c>
      <c r="D20" s="109"/>
      <c r="E20" s="109"/>
      <c r="F20" s="109"/>
      <c r="G20" s="17"/>
      <c r="H20" s="18">
        <v>50</v>
      </c>
      <c r="I20" s="18"/>
      <c r="J20" s="19"/>
      <c r="K20" s="19"/>
      <c r="L20" s="19"/>
      <c r="M20" s="18">
        <f t="shared" si="0"/>
        <v>50</v>
      </c>
      <c r="N20" s="20">
        <v>6</v>
      </c>
      <c r="O20" s="28">
        <f t="shared" si="1"/>
        <v>300</v>
      </c>
      <c r="P20" s="110"/>
      <c r="Q20" s="110"/>
      <c r="R20" s="111"/>
      <c r="S20" s="39">
        <v>9.9499999999999993</v>
      </c>
      <c r="T20" s="39">
        <f t="shared" ref="T20:T25" si="4">S20+1.2</f>
        <v>11.149999999999999</v>
      </c>
      <c r="U20" s="39">
        <f t="shared" si="2"/>
        <v>59.699999999999996</v>
      </c>
      <c r="V20" s="39">
        <f t="shared" si="3"/>
        <v>66.899999999999991</v>
      </c>
      <c r="W20" s="3"/>
    </row>
    <row r="21" spans="1:23" s="4" customFormat="1" ht="18" customHeight="1">
      <c r="A21" s="25">
        <f t="shared" ref="A21:A25" si="5">C20+1</f>
        <v>9</v>
      </c>
      <c r="B21" s="26" t="s">
        <v>25</v>
      </c>
      <c r="C21" s="25">
        <f>C20+N21</f>
        <v>14</v>
      </c>
      <c r="D21" s="109"/>
      <c r="E21" s="109"/>
      <c r="F21" s="109"/>
      <c r="G21" s="17"/>
      <c r="H21" s="18"/>
      <c r="I21" s="18">
        <v>45</v>
      </c>
      <c r="J21" s="19"/>
      <c r="K21" s="19"/>
      <c r="L21" s="19"/>
      <c r="M21" s="18">
        <f t="shared" si="0"/>
        <v>45</v>
      </c>
      <c r="N21" s="20">
        <v>6</v>
      </c>
      <c r="O21" s="28">
        <f t="shared" si="1"/>
        <v>270</v>
      </c>
      <c r="P21" s="110"/>
      <c r="Q21" s="110"/>
      <c r="R21" s="111"/>
      <c r="S21" s="39">
        <v>9.65</v>
      </c>
      <c r="T21" s="39">
        <f t="shared" si="4"/>
        <v>10.85</v>
      </c>
      <c r="U21" s="39">
        <f t="shared" si="2"/>
        <v>57.900000000000006</v>
      </c>
      <c r="V21" s="39">
        <f t="shared" si="3"/>
        <v>65.099999999999994</v>
      </c>
      <c r="W21" s="3"/>
    </row>
    <row r="22" spans="1:23" s="4" customFormat="1" ht="18" customHeight="1">
      <c r="A22" s="25">
        <f t="shared" si="5"/>
        <v>15</v>
      </c>
      <c r="B22" s="26" t="s">
        <v>25</v>
      </c>
      <c r="C22" s="25">
        <f>C21+N22</f>
        <v>20</v>
      </c>
      <c r="D22" s="109"/>
      <c r="E22" s="109"/>
      <c r="F22" s="109"/>
      <c r="G22" s="17"/>
      <c r="H22" s="18"/>
      <c r="I22" s="18"/>
      <c r="J22" s="19">
        <v>40</v>
      </c>
      <c r="K22" s="19"/>
      <c r="L22" s="19"/>
      <c r="M22" s="18">
        <f t="shared" si="0"/>
        <v>40</v>
      </c>
      <c r="N22" s="20">
        <v>6</v>
      </c>
      <c r="O22" s="28">
        <f t="shared" si="1"/>
        <v>240</v>
      </c>
      <c r="P22" s="110"/>
      <c r="Q22" s="110"/>
      <c r="R22" s="111"/>
      <c r="S22" s="39">
        <v>9.1</v>
      </c>
      <c r="T22" s="39">
        <f t="shared" si="4"/>
        <v>10.299999999999999</v>
      </c>
      <c r="U22" s="39">
        <f t="shared" si="2"/>
        <v>54.599999999999994</v>
      </c>
      <c r="V22" s="39">
        <f t="shared" si="3"/>
        <v>61.8</v>
      </c>
      <c r="W22" s="3"/>
    </row>
    <row r="23" spans="1:23" s="4" customFormat="1" ht="18" customHeight="1">
      <c r="A23" s="25">
        <f t="shared" si="5"/>
        <v>21</v>
      </c>
      <c r="B23" s="26" t="s">
        <v>25</v>
      </c>
      <c r="C23" s="25">
        <f>C22+N23</f>
        <v>23</v>
      </c>
      <c r="D23" s="109"/>
      <c r="E23" s="109"/>
      <c r="F23" s="109"/>
      <c r="G23" s="17"/>
      <c r="H23" s="18"/>
      <c r="I23" s="18"/>
      <c r="J23" s="19"/>
      <c r="K23" s="19">
        <v>40</v>
      </c>
      <c r="L23" s="19"/>
      <c r="M23" s="18">
        <f t="shared" si="0"/>
        <v>40</v>
      </c>
      <c r="N23" s="20">
        <v>3</v>
      </c>
      <c r="O23" s="28">
        <f t="shared" si="1"/>
        <v>120</v>
      </c>
      <c r="P23" s="110"/>
      <c r="Q23" s="110"/>
      <c r="R23" s="111"/>
      <c r="S23" s="39">
        <v>9.6</v>
      </c>
      <c r="T23" s="39">
        <f t="shared" si="4"/>
        <v>10.799999999999999</v>
      </c>
      <c r="U23" s="39">
        <f t="shared" si="2"/>
        <v>28.799999999999997</v>
      </c>
      <c r="V23" s="39">
        <f t="shared" si="3"/>
        <v>32.4</v>
      </c>
      <c r="W23" s="3"/>
    </row>
    <row r="24" spans="1:23" s="4" customFormat="1" ht="18" customHeight="1">
      <c r="A24" s="25">
        <f t="shared" si="5"/>
        <v>24</v>
      </c>
      <c r="B24" s="26" t="s">
        <v>25</v>
      </c>
      <c r="C24" s="25">
        <f t="shared" ref="C24:C25" si="6">C23+N24</f>
        <v>24</v>
      </c>
      <c r="D24" s="109"/>
      <c r="E24" s="109"/>
      <c r="F24" s="109"/>
      <c r="G24" s="17">
        <v>47</v>
      </c>
      <c r="H24" s="18"/>
      <c r="I24" s="18"/>
      <c r="J24" s="19"/>
      <c r="K24" s="19"/>
      <c r="L24" s="19"/>
      <c r="M24" s="18">
        <f t="shared" si="0"/>
        <v>47</v>
      </c>
      <c r="N24" s="20">
        <v>1</v>
      </c>
      <c r="O24" s="28">
        <f t="shared" si="1"/>
        <v>47</v>
      </c>
      <c r="P24" s="110"/>
      <c r="Q24" s="110"/>
      <c r="R24" s="111"/>
      <c r="S24" s="39">
        <v>8.6</v>
      </c>
      <c r="T24" s="39">
        <f t="shared" si="4"/>
        <v>9.7999999999999989</v>
      </c>
      <c r="U24" s="39">
        <f t="shared" si="2"/>
        <v>8.6</v>
      </c>
      <c r="V24" s="39">
        <f t="shared" si="3"/>
        <v>9.7999999999999989</v>
      </c>
      <c r="W24" s="3"/>
    </row>
    <row r="25" spans="1:23" s="4" customFormat="1" ht="18" customHeight="1">
      <c r="A25" s="25">
        <f t="shared" si="5"/>
        <v>25</v>
      </c>
      <c r="B25" s="26" t="s">
        <v>25</v>
      </c>
      <c r="C25" s="25">
        <f t="shared" si="6"/>
        <v>25</v>
      </c>
      <c r="D25" s="109"/>
      <c r="E25" s="109"/>
      <c r="F25" s="109"/>
      <c r="G25" s="17"/>
      <c r="H25" s="18"/>
      <c r="I25" s="18">
        <v>27</v>
      </c>
      <c r="J25" s="19"/>
      <c r="K25" s="19">
        <v>26</v>
      </c>
      <c r="L25" s="19"/>
      <c r="M25" s="18">
        <f t="shared" si="0"/>
        <v>53</v>
      </c>
      <c r="N25" s="20">
        <v>1</v>
      </c>
      <c r="O25" s="28">
        <f t="shared" si="1"/>
        <v>53</v>
      </c>
      <c r="P25" s="110"/>
      <c r="Q25" s="110"/>
      <c r="R25" s="111"/>
      <c r="S25" s="39">
        <v>12</v>
      </c>
      <c r="T25" s="39">
        <f t="shared" si="4"/>
        <v>13.2</v>
      </c>
      <c r="U25" s="39">
        <f t="shared" si="2"/>
        <v>12</v>
      </c>
      <c r="V25" s="39">
        <f t="shared" si="3"/>
        <v>13.2</v>
      </c>
      <c r="W25" s="3"/>
    </row>
    <row r="26" spans="1:23" s="23" customFormat="1" ht="21.95" customHeight="1">
      <c r="A26" s="112" t="s">
        <v>2</v>
      </c>
      <c r="B26" s="112"/>
      <c r="C26" s="112"/>
      <c r="D26" s="112"/>
      <c r="E26" s="112"/>
      <c r="F26" s="112"/>
      <c r="G26" s="52">
        <f>O19+G24</f>
        <v>157</v>
      </c>
      <c r="H26" s="53">
        <f>O20+H25</f>
        <v>300</v>
      </c>
      <c r="I26" s="53">
        <f>O21+I25</f>
        <v>297</v>
      </c>
      <c r="J26" s="53">
        <f>O22</f>
        <v>240</v>
      </c>
      <c r="K26" s="53">
        <f>O23+K25</f>
        <v>146</v>
      </c>
      <c r="L26" s="53"/>
      <c r="M26" s="54"/>
      <c r="N26" s="55">
        <f>SUM(N19:N25)</f>
        <v>25</v>
      </c>
      <c r="O26" s="56">
        <f>SUM(O19:O25)</f>
        <v>1140</v>
      </c>
      <c r="P26" s="113">
        <f>(P19*Q19*R19)/1000000*N26</f>
        <v>1.25125</v>
      </c>
      <c r="Q26" s="113"/>
      <c r="R26" s="113"/>
      <c r="S26" s="57"/>
      <c r="T26" s="58"/>
      <c r="U26" s="59">
        <f>SUM(U19:U25)</f>
        <v>241.79999999999998</v>
      </c>
      <c r="V26" s="59">
        <f>SUM(V19:V25)</f>
        <v>271.79999999999995</v>
      </c>
    </row>
    <row r="27" spans="1:23" ht="15" customHeight="1">
      <c r="A27" s="114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6"/>
      <c r="W27" s="2"/>
    </row>
    <row r="28" spans="1:23" s="6" customFormat="1" ht="15" customHeight="1">
      <c r="A28" s="103" t="s">
        <v>5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46"/>
      <c r="N28" s="47">
        <f>N26</f>
        <v>25</v>
      </c>
      <c r="O28" s="48">
        <f>O26</f>
        <v>1140</v>
      </c>
      <c r="P28" s="117">
        <f>P26</f>
        <v>1.25125</v>
      </c>
      <c r="Q28" s="117"/>
      <c r="R28" s="117"/>
      <c r="S28" s="49"/>
      <c r="T28" s="49"/>
      <c r="U28" s="50">
        <f>U26</f>
        <v>241.79999999999998</v>
      </c>
      <c r="V28" s="50">
        <f>V26</f>
        <v>271.79999999999995</v>
      </c>
      <c r="W28" s="5"/>
    </row>
    <row r="29" spans="1:23" ht="15" customHeight="1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</row>
    <row r="30" spans="1:23" s="7" customFormat="1" ht="30" customHeight="1">
      <c r="A30" s="106" t="s">
        <v>10</v>
      </c>
      <c r="B30" s="106"/>
      <c r="C30" s="106"/>
      <c r="D30" s="103" t="str">
        <f>D17</f>
        <v>COLOR</v>
      </c>
      <c r="E30" s="103"/>
      <c r="F30" s="103"/>
      <c r="G30" s="51" t="str">
        <f t="shared" ref="G30:L30" si="7">G18</f>
        <v>S</v>
      </c>
      <c r="H30" s="51" t="str">
        <f t="shared" si="7"/>
        <v>M</v>
      </c>
      <c r="I30" s="51" t="str">
        <f t="shared" si="7"/>
        <v>L</v>
      </c>
      <c r="J30" s="51" t="str">
        <f t="shared" si="7"/>
        <v>XL</v>
      </c>
      <c r="K30" s="51" t="str">
        <f t="shared" si="7"/>
        <v>XXL</v>
      </c>
      <c r="L30" s="51" t="str">
        <f t="shared" si="7"/>
        <v>3XL</v>
      </c>
      <c r="M30" s="103" t="s">
        <v>2</v>
      </c>
      <c r="N30" s="103"/>
      <c r="O30" s="69"/>
      <c r="P30" s="69"/>
      <c r="S30" s="69"/>
      <c r="T30" s="69"/>
      <c r="U30" s="69"/>
      <c r="V30" s="69"/>
    </row>
    <row r="31" spans="1:23" s="7" customFormat="1" ht="24.95" customHeight="1">
      <c r="A31" s="119" t="s">
        <v>12</v>
      </c>
      <c r="B31" s="119"/>
      <c r="C31" s="119"/>
      <c r="D31" s="120" t="str">
        <f>D19</f>
        <v>Black</v>
      </c>
      <c r="E31" s="121"/>
      <c r="F31" s="121"/>
      <c r="G31" s="64">
        <v>150</v>
      </c>
      <c r="H31" s="64">
        <v>300</v>
      </c>
      <c r="I31" s="64">
        <v>300</v>
      </c>
      <c r="J31" s="64">
        <v>240</v>
      </c>
      <c r="K31" s="64">
        <v>140</v>
      </c>
      <c r="L31" s="64"/>
      <c r="M31" s="122">
        <f>G31+H31+I31+J31+K31+L31</f>
        <v>1130</v>
      </c>
      <c r="N31" s="122"/>
      <c r="O31" s="22"/>
      <c r="P31" s="21"/>
      <c r="S31" s="69"/>
      <c r="T31" s="69"/>
      <c r="U31" s="69"/>
      <c r="V31" s="69"/>
    </row>
    <row r="32" spans="1:23" s="7" customFormat="1" ht="24.95" customHeight="1">
      <c r="A32" s="119" t="s">
        <v>30</v>
      </c>
      <c r="B32" s="119"/>
      <c r="C32" s="119"/>
      <c r="D32" s="121"/>
      <c r="E32" s="121"/>
      <c r="F32" s="121"/>
      <c r="G32" s="64">
        <f t="shared" ref="G32:K32" si="8">G26</f>
        <v>157</v>
      </c>
      <c r="H32" s="64">
        <f t="shared" si="8"/>
        <v>300</v>
      </c>
      <c r="I32" s="64">
        <f t="shared" si="8"/>
        <v>297</v>
      </c>
      <c r="J32" s="64">
        <f t="shared" si="8"/>
        <v>240</v>
      </c>
      <c r="K32" s="64">
        <f t="shared" si="8"/>
        <v>146</v>
      </c>
      <c r="L32" s="64"/>
      <c r="M32" s="122">
        <f>G32+H32+I32+J32+K32+L32</f>
        <v>1140</v>
      </c>
      <c r="N32" s="122"/>
      <c r="O32" s="22"/>
      <c r="P32" s="21"/>
      <c r="S32" s="69"/>
      <c r="T32" s="69"/>
      <c r="U32" s="69"/>
      <c r="V32" s="69"/>
    </row>
  </sheetData>
  <mergeCells count="40">
    <mergeCell ref="A31:C31"/>
    <mergeCell ref="D31:F32"/>
    <mergeCell ref="M31:N31"/>
    <mergeCell ref="A32:C32"/>
    <mergeCell ref="M32:N32"/>
    <mergeCell ref="A27:V27"/>
    <mergeCell ref="A28:L28"/>
    <mergeCell ref="P28:R28"/>
    <mergeCell ref="A29:V29"/>
    <mergeCell ref="A30:C30"/>
    <mergeCell ref="D30:F30"/>
    <mergeCell ref="M30:N30"/>
    <mergeCell ref="D19:F25"/>
    <mergeCell ref="P19:P25"/>
    <mergeCell ref="Q19:Q25"/>
    <mergeCell ref="R19:R25"/>
    <mergeCell ref="A26:F26"/>
    <mergeCell ref="P26:R26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D4E1E-B2A1-47D5-9127-06BCE10394CE}">
  <sheetPr>
    <tabColor theme="7" tint="-0.249977111117893"/>
    <pageSetUpPr fitToPage="1"/>
  </sheetPr>
  <dimension ref="A1:W31"/>
  <sheetViews>
    <sheetView showGridLines="0" view="pageBreakPreview" topLeftCell="A15" zoomScaleNormal="62" zoomScaleSheetLayoutView="100" workbookViewId="0">
      <selection activeCell="R30" sqref="R30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177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178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1480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M31</f>
        <v>1521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41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N27</f>
        <v>29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89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65" t="s">
        <v>22</v>
      </c>
      <c r="J18" s="65" t="s">
        <v>93</v>
      </c>
      <c r="K18" s="65" t="s">
        <v>94</v>
      </c>
      <c r="L18" s="65" t="s">
        <v>95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5</v>
      </c>
      <c r="D19" s="109" t="s">
        <v>179</v>
      </c>
      <c r="E19" s="109"/>
      <c r="F19" s="109"/>
      <c r="G19" s="17">
        <v>60</v>
      </c>
      <c r="H19" s="18"/>
      <c r="I19" s="18"/>
      <c r="J19" s="19"/>
      <c r="K19" s="19"/>
      <c r="L19" s="19"/>
      <c r="M19" s="18">
        <f t="shared" ref="M19:M24" si="0">SUM(G19:L19)</f>
        <v>60</v>
      </c>
      <c r="N19" s="20">
        <v>5</v>
      </c>
      <c r="O19" s="28">
        <f t="shared" ref="O19:O24" si="1">M19*N19</f>
        <v>300</v>
      </c>
      <c r="P19" s="110">
        <v>55</v>
      </c>
      <c r="Q19" s="110">
        <v>35</v>
      </c>
      <c r="R19" s="111">
        <v>26</v>
      </c>
      <c r="S19" s="39">
        <v>10.7</v>
      </c>
      <c r="T19" s="39">
        <f>S19+1.2</f>
        <v>11.899999999999999</v>
      </c>
      <c r="U19" s="39">
        <f t="shared" ref="U19:U24" si="2">S19*N19</f>
        <v>53.5</v>
      </c>
      <c r="V19" s="39">
        <f t="shared" ref="V19:V24" si="3">T19*N19</f>
        <v>59.499999999999993</v>
      </c>
      <c r="W19" s="3"/>
    </row>
    <row r="20" spans="1:23" s="4" customFormat="1" ht="18" customHeight="1">
      <c r="A20" s="25">
        <f>C19+1</f>
        <v>6</v>
      </c>
      <c r="B20" s="26" t="s">
        <v>25</v>
      </c>
      <c r="C20" s="25">
        <f>C19+N20</f>
        <v>11</v>
      </c>
      <c r="D20" s="109"/>
      <c r="E20" s="109"/>
      <c r="F20" s="109"/>
      <c r="G20" s="17"/>
      <c r="H20" s="18">
        <v>60</v>
      </c>
      <c r="I20" s="18"/>
      <c r="J20" s="19"/>
      <c r="K20" s="19"/>
      <c r="L20" s="19"/>
      <c r="M20" s="18">
        <f t="shared" si="0"/>
        <v>60</v>
      </c>
      <c r="N20" s="20">
        <v>6</v>
      </c>
      <c r="O20" s="28">
        <f t="shared" si="1"/>
        <v>360</v>
      </c>
      <c r="P20" s="110"/>
      <c r="Q20" s="110"/>
      <c r="R20" s="111"/>
      <c r="S20" s="39">
        <v>11.5</v>
      </c>
      <c r="T20" s="39">
        <f t="shared" ref="T20:T24" si="4">S20+1.2</f>
        <v>12.7</v>
      </c>
      <c r="U20" s="39">
        <f t="shared" si="2"/>
        <v>69</v>
      </c>
      <c r="V20" s="39">
        <f t="shared" si="3"/>
        <v>76.199999999999989</v>
      </c>
      <c r="W20" s="3"/>
    </row>
    <row r="21" spans="1:23" s="4" customFormat="1" ht="18" customHeight="1">
      <c r="A21" s="25">
        <f t="shared" ref="A21:A24" si="5">C20+1</f>
        <v>12</v>
      </c>
      <c r="B21" s="26" t="s">
        <v>25</v>
      </c>
      <c r="C21" s="25">
        <f>C20+N21</f>
        <v>18</v>
      </c>
      <c r="D21" s="109"/>
      <c r="E21" s="109"/>
      <c r="F21" s="109"/>
      <c r="G21" s="17"/>
      <c r="H21" s="18"/>
      <c r="I21" s="18">
        <v>50</v>
      </c>
      <c r="J21" s="19"/>
      <c r="K21" s="19"/>
      <c r="L21" s="19"/>
      <c r="M21" s="18">
        <f t="shared" si="0"/>
        <v>50</v>
      </c>
      <c r="N21" s="20">
        <v>7</v>
      </c>
      <c r="O21" s="28">
        <f t="shared" si="1"/>
        <v>350</v>
      </c>
      <c r="P21" s="110"/>
      <c r="Q21" s="110"/>
      <c r="R21" s="111"/>
      <c r="S21" s="39">
        <v>10.199999999999999</v>
      </c>
      <c r="T21" s="39">
        <f t="shared" si="4"/>
        <v>11.399999999999999</v>
      </c>
      <c r="U21" s="39">
        <f t="shared" si="2"/>
        <v>71.399999999999991</v>
      </c>
      <c r="V21" s="39">
        <f t="shared" si="3"/>
        <v>79.799999999999983</v>
      </c>
      <c r="W21" s="3"/>
    </row>
    <row r="22" spans="1:23" s="4" customFormat="1" ht="18" customHeight="1">
      <c r="A22" s="25">
        <f t="shared" si="5"/>
        <v>19</v>
      </c>
      <c r="B22" s="26" t="s">
        <v>25</v>
      </c>
      <c r="C22" s="25">
        <f>C21+N22</f>
        <v>24</v>
      </c>
      <c r="D22" s="109"/>
      <c r="E22" s="109"/>
      <c r="F22" s="109"/>
      <c r="G22" s="17"/>
      <c r="H22" s="18"/>
      <c r="I22" s="18"/>
      <c r="J22" s="19">
        <v>50</v>
      </c>
      <c r="K22" s="19"/>
      <c r="L22" s="19"/>
      <c r="M22" s="18">
        <f t="shared" si="0"/>
        <v>50</v>
      </c>
      <c r="N22" s="20">
        <v>6</v>
      </c>
      <c r="O22" s="28">
        <f t="shared" si="1"/>
        <v>300</v>
      </c>
      <c r="P22" s="110"/>
      <c r="Q22" s="110"/>
      <c r="R22" s="111"/>
      <c r="S22" s="39">
        <v>10.9</v>
      </c>
      <c r="T22" s="39">
        <f t="shared" si="4"/>
        <v>12.1</v>
      </c>
      <c r="U22" s="39">
        <f t="shared" si="2"/>
        <v>65.400000000000006</v>
      </c>
      <c r="V22" s="39">
        <f t="shared" si="3"/>
        <v>72.599999999999994</v>
      </c>
      <c r="W22" s="3"/>
    </row>
    <row r="23" spans="1:23" s="4" customFormat="1" ht="18" customHeight="1">
      <c r="A23" s="25">
        <f t="shared" si="5"/>
        <v>25</v>
      </c>
      <c r="B23" s="26" t="s">
        <v>25</v>
      </c>
      <c r="C23" s="25">
        <f>C22+N23</f>
        <v>28</v>
      </c>
      <c r="D23" s="109"/>
      <c r="E23" s="109"/>
      <c r="F23" s="109"/>
      <c r="G23" s="17"/>
      <c r="H23" s="18"/>
      <c r="I23" s="18"/>
      <c r="J23" s="19"/>
      <c r="K23" s="19">
        <v>45</v>
      </c>
      <c r="L23" s="19"/>
      <c r="M23" s="18">
        <f t="shared" si="0"/>
        <v>45</v>
      </c>
      <c r="N23" s="20">
        <v>4</v>
      </c>
      <c r="O23" s="28">
        <f t="shared" si="1"/>
        <v>180</v>
      </c>
      <c r="P23" s="110"/>
      <c r="Q23" s="110"/>
      <c r="R23" s="111"/>
      <c r="S23" s="39">
        <v>9.4</v>
      </c>
      <c r="T23" s="39">
        <f t="shared" si="4"/>
        <v>10.6</v>
      </c>
      <c r="U23" s="39">
        <f t="shared" si="2"/>
        <v>37.6</v>
      </c>
      <c r="V23" s="39">
        <f t="shared" si="3"/>
        <v>42.4</v>
      </c>
      <c r="W23" s="3"/>
    </row>
    <row r="24" spans="1:23" s="4" customFormat="1" ht="18" customHeight="1">
      <c r="A24" s="25">
        <f t="shared" si="5"/>
        <v>29</v>
      </c>
      <c r="B24" s="26" t="s">
        <v>25</v>
      </c>
      <c r="C24" s="25">
        <f t="shared" ref="C24" si="6">C23+N24</f>
        <v>29</v>
      </c>
      <c r="D24" s="109"/>
      <c r="E24" s="109"/>
      <c r="F24" s="109"/>
      <c r="G24" s="17">
        <v>7</v>
      </c>
      <c r="H24" s="18"/>
      <c r="I24" s="18">
        <v>9</v>
      </c>
      <c r="J24" s="19">
        <v>13</v>
      </c>
      <c r="K24" s="19">
        <v>2</v>
      </c>
      <c r="L24" s="19"/>
      <c r="M24" s="18">
        <f t="shared" si="0"/>
        <v>31</v>
      </c>
      <c r="N24" s="20">
        <v>1</v>
      </c>
      <c r="O24" s="28">
        <f t="shared" si="1"/>
        <v>31</v>
      </c>
      <c r="P24" s="110"/>
      <c r="Q24" s="110"/>
      <c r="R24" s="111"/>
      <c r="S24" s="39">
        <v>9.1</v>
      </c>
      <c r="T24" s="39">
        <f t="shared" si="4"/>
        <v>10.299999999999999</v>
      </c>
      <c r="U24" s="39">
        <f t="shared" si="2"/>
        <v>9.1</v>
      </c>
      <c r="V24" s="39">
        <f t="shared" si="3"/>
        <v>10.299999999999999</v>
      </c>
      <c r="W24" s="3"/>
    </row>
    <row r="25" spans="1:23" s="23" customFormat="1" ht="21.95" customHeight="1">
      <c r="A25" s="112" t="s">
        <v>2</v>
      </c>
      <c r="B25" s="112"/>
      <c r="C25" s="112"/>
      <c r="D25" s="112"/>
      <c r="E25" s="112"/>
      <c r="F25" s="112"/>
      <c r="G25" s="52">
        <f>O19+G24</f>
        <v>307</v>
      </c>
      <c r="H25" s="53">
        <f>O20+H24</f>
        <v>360</v>
      </c>
      <c r="I25" s="53">
        <f>O21+I24</f>
        <v>359</v>
      </c>
      <c r="J25" s="53">
        <f>O22+J24</f>
        <v>313</v>
      </c>
      <c r="K25" s="53">
        <f>O23+K24</f>
        <v>182</v>
      </c>
      <c r="L25" s="53"/>
      <c r="M25" s="54"/>
      <c r="N25" s="55">
        <f>SUM(N19:N24)</f>
        <v>29</v>
      </c>
      <c r="O25" s="56">
        <f>SUM(O19:O24)</f>
        <v>1521</v>
      </c>
      <c r="P25" s="113">
        <f>(P19*Q19*R19)/1000000*N25</f>
        <v>1.4514499999999999</v>
      </c>
      <c r="Q25" s="113"/>
      <c r="R25" s="113"/>
      <c r="S25" s="57"/>
      <c r="T25" s="58"/>
      <c r="U25" s="59">
        <f>SUM(U19:U24)</f>
        <v>306</v>
      </c>
      <c r="V25" s="59">
        <f>SUM(V19:V24)</f>
        <v>340.79999999999995</v>
      </c>
    </row>
    <row r="26" spans="1:23" ht="15" customHeight="1">
      <c r="A26" s="114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6"/>
      <c r="W26" s="2"/>
    </row>
    <row r="27" spans="1:23" s="6" customFormat="1" ht="15" customHeight="1">
      <c r="A27" s="103" t="s">
        <v>5</v>
      </c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46"/>
      <c r="N27" s="47">
        <f>N25</f>
        <v>29</v>
      </c>
      <c r="O27" s="48">
        <f>O25</f>
        <v>1521</v>
      </c>
      <c r="P27" s="117">
        <f>P25</f>
        <v>1.4514499999999999</v>
      </c>
      <c r="Q27" s="117"/>
      <c r="R27" s="117"/>
      <c r="S27" s="49"/>
      <c r="T27" s="49"/>
      <c r="U27" s="50">
        <f>U25</f>
        <v>306</v>
      </c>
      <c r="V27" s="50">
        <f>V25</f>
        <v>340.79999999999995</v>
      </c>
      <c r="W27" s="5"/>
    </row>
    <row r="28" spans="1:23" ht="15" customHeight="1">
      <c r="A28" s="118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</row>
    <row r="29" spans="1:23" s="7" customFormat="1" ht="30" customHeight="1">
      <c r="A29" s="106" t="s">
        <v>10</v>
      </c>
      <c r="B29" s="106"/>
      <c r="C29" s="106"/>
      <c r="D29" s="103" t="str">
        <f>D17</f>
        <v>COLOR</v>
      </c>
      <c r="E29" s="103"/>
      <c r="F29" s="103"/>
      <c r="G29" s="51" t="str">
        <f t="shared" ref="G29:L29" si="7">G18</f>
        <v>S</v>
      </c>
      <c r="H29" s="51" t="str">
        <f t="shared" si="7"/>
        <v>M</v>
      </c>
      <c r="I29" s="51" t="str">
        <f t="shared" si="7"/>
        <v>L</v>
      </c>
      <c r="J29" s="51" t="str">
        <f t="shared" si="7"/>
        <v>XL</v>
      </c>
      <c r="K29" s="51" t="str">
        <f t="shared" si="7"/>
        <v>XXL</v>
      </c>
      <c r="L29" s="51" t="str">
        <f t="shared" si="7"/>
        <v>3XL</v>
      </c>
      <c r="M29" s="103" t="s">
        <v>2</v>
      </c>
      <c r="N29" s="103"/>
      <c r="O29" s="69"/>
      <c r="P29" s="69"/>
      <c r="S29" s="69"/>
      <c r="T29" s="69"/>
      <c r="U29" s="69"/>
      <c r="V29" s="69"/>
    </row>
    <row r="30" spans="1:23" s="7" customFormat="1" ht="24.95" customHeight="1">
      <c r="A30" s="119" t="s">
        <v>12</v>
      </c>
      <c r="B30" s="119"/>
      <c r="C30" s="119"/>
      <c r="D30" s="120" t="str">
        <f>D19</f>
        <v>Cobalt Blue</v>
      </c>
      <c r="E30" s="121"/>
      <c r="F30" s="121"/>
      <c r="G30" s="64">
        <v>300</v>
      </c>
      <c r="H30" s="64">
        <v>350</v>
      </c>
      <c r="I30" s="64">
        <v>350</v>
      </c>
      <c r="J30" s="64">
        <v>300</v>
      </c>
      <c r="K30" s="64">
        <v>180</v>
      </c>
      <c r="L30" s="64"/>
      <c r="M30" s="122">
        <f>G30+H30+I30+J30+K30+L30</f>
        <v>1480</v>
      </c>
      <c r="N30" s="122"/>
      <c r="O30" s="22"/>
      <c r="P30" s="21"/>
      <c r="S30" s="69"/>
      <c r="T30" s="69"/>
      <c r="U30" s="69"/>
      <c r="V30" s="69"/>
    </row>
    <row r="31" spans="1:23" s="7" customFormat="1" ht="24.95" customHeight="1">
      <c r="A31" s="119" t="s">
        <v>30</v>
      </c>
      <c r="B31" s="119"/>
      <c r="C31" s="119"/>
      <c r="D31" s="121"/>
      <c r="E31" s="121"/>
      <c r="F31" s="121"/>
      <c r="G31" s="64">
        <f t="shared" ref="G31:K31" si="8">G25</f>
        <v>307</v>
      </c>
      <c r="H31" s="64">
        <f t="shared" si="8"/>
        <v>360</v>
      </c>
      <c r="I31" s="64">
        <f t="shared" si="8"/>
        <v>359</v>
      </c>
      <c r="J31" s="64">
        <f t="shared" si="8"/>
        <v>313</v>
      </c>
      <c r="K31" s="64">
        <f t="shared" si="8"/>
        <v>182</v>
      </c>
      <c r="L31" s="64"/>
      <c r="M31" s="122">
        <f>G31+H31+I31+J31+K31+L31</f>
        <v>1521</v>
      </c>
      <c r="N31" s="122"/>
      <c r="O31" s="22"/>
      <c r="P31" s="21"/>
      <c r="S31" s="69"/>
      <c r="T31" s="69"/>
      <c r="U31" s="69"/>
      <c r="V31" s="69"/>
    </row>
  </sheetData>
  <mergeCells count="40">
    <mergeCell ref="A30:C30"/>
    <mergeCell ref="D30:F31"/>
    <mergeCell ref="M30:N30"/>
    <mergeCell ref="A31:C31"/>
    <mergeCell ref="M31:N31"/>
    <mergeCell ref="A26:V26"/>
    <mergeCell ref="A27:L27"/>
    <mergeCell ref="P27:R27"/>
    <mergeCell ref="A28:V28"/>
    <mergeCell ref="A29:C29"/>
    <mergeCell ref="D29:F29"/>
    <mergeCell ref="M29:N29"/>
    <mergeCell ref="D19:F24"/>
    <mergeCell ref="P19:P24"/>
    <mergeCell ref="Q19:Q24"/>
    <mergeCell ref="R19:R24"/>
    <mergeCell ref="A25:F25"/>
    <mergeCell ref="P25:R25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8A316-BCF4-46E9-B133-C2DE1BA4B1D8}">
  <sheetPr>
    <tabColor theme="9" tint="-0.249977111117893"/>
    <pageSetUpPr fitToPage="1"/>
  </sheetPr>
  <dimension ref="A1:W32"/>
  <sheetViews>
    <sheetView showGridLines="0" view="pageBreakPreview" topLeftCell="A16" zoomScaleNormal="62" zoomScaleSheetLayoutView="100" workbookViewId="0">
      <selection activeCell="Q32" sqref="Q32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182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183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1200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M32</f>
        <v>1190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-10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N28</f>
        <v>24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180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65" t="s">
        <v>22</v>
      </c>
      <c r="J18" s="65" t="s">
        <v>93</v>
      </c>
      <c r="K18" s="65" t="s">
        <v>94</v>
      </c>
      <c r="L18" s="65" t="s">
        <v>95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2</v>
      </c>
      <c r="D19" s="109" t="s">
        <v>181</v>
      </c>
      <c r="E19" s="109"/>
      <c r="F19" s="109"/>
      <c r="G19" s="17">
        <v>60</v>
      </c>
      <c r="H19" s="18"/>
      <c r="I19" s="18"/>
      <c r="J19" s="19"/>
      <c r="K19" s="19"/>
      <c r="L19" s="19"/>
      <c r="M19" s="18">
        <f t="shared" ref="M19:M25" si="0">SUM(G19:L19)</f>
        <v>60</v>
      </c>
      <c r="N19" s="20">
        <v>2</v>
      </c>
      <c r="O19" s="28">
        <f t="shared" ref="O19:O25" si="1">M19*N19</f>
        <v>120</v>
      </c>
      <c r="P19" s="110">
        <v>55</v>
      </c>
      <c r="Q19" s="110">
        <v>35</v>
      </c>
      <c r="R19" s="111">
        <v>26</v>
      </c>
      <c r="S19" s="39">
        <v>8.5</v>
      </c>
      <c r="T19" s="39">
        <f>S19+1.2</f>
        <v>9.6999999999999993</v>
      </c>
      <c r="U19" s="39">
        <f t="shared" ref="U19:U25" si="2">S19*N19</f>
        <v>17</v>
      </c>
      <c r="V19" s="39">
        <f t="shared" ref="V19:V25" si="3">T19*N19</f>
        <v>19.399999999999999</v>
      </c>
      <c r="W19" s="3"/>
    </row>
    <row r="20" spans="1:23" s="4" customFormat="1" ht="18" customHeight="1">
      <c r="A20" s="25">
        <f>C19+1</f>
        <v>3</v>
      </c>
      <c r="B20" s="26" t="s">
        <v>25</v>
      </c>
      <c r="C20" s="25">
        <f>C19+N20</f>
        <v>6</v>
      </c>
      <c r="D20" s="109"/>
      <c r="E20" s="109"/>
      <c r="F20" s="109"/>
      <c r="G20" s="17"/>
      <c r="H20" s="18">
        <v>60</v>
      </c>
      <c r="I20" s="18"/>
      <c r="J20" s="19"/>
      <c r="K20" s="19"/>
      <c r="L20" s="19"/>
      <c r="M20" s="18">
        <f t="shared" si="0"/>
        <v>60</v>
      </c>
      <c r="N20" s="20">
        <v>4</v>
      </c>
      <c r="O20" s="28">
        <f t="shared" si="1"/>
        <v>240</v>
      </c>
      <c r="P20" s="110"/>
      <c r="Q20" s="110"/>
      <c r="R20" s="111"/>
      <c r="S20" s="39">
        <v>9.1999999999999993</v>
      </c>
      <c r="T20" s="39">
        <f t="shared" ref="T20:T25" si="4">S20+1.2</f>
        <v>10.399999999999999</v>
      </c>
      <c r="U20" s="39">
        <f t="shared" si="2"/>
        <v>36.799999999999997</v>
      </c>
      <c r="V20" s="39">
        <f t="shared" si="3"/>
        <v>41.599999999999994</v>
      </c>
      <c r="W20" s="3"/>
    </row>
    <row r="21" spans="1:23" s="4" customFormat="1" ht="18" customHeight="1">
      <c r="A21" s="25">
        <f t="shared" ref="A21:A25" si="5">C20+1</f>
        <v>7</v>
      </c>
      <c r="B21" s="26" t="s">
        <v>25</v>
      </c>
      <c r="C21" s="25">
        <f>C20+N21</f>
        <v>12</v>
      </c>
      <c r="D21" s="109"/>
      <c r="E21" s="109"/>
      <c r="F21" s="109"/>
      <c r="G21" s="17"/>
      <c r="H21" s="18"/>
      <c r="I21" s="18">
        <v>50</v>
      </c>
      <c r="J21" s="19"/>
      <c r="K21" s="19"/>
      <c r="L21" s="19"/>
      <c r="M21" s="18">
        <f t="shared" si="0"/>
        <v>50</v>
      </c>
      <c r="N21" s="20">
        <v>6</v>
      </c>
      <c r="O21" s="28">
        <f t="shared" si="1"/>
        <v>300</v>
      </c>
      <c r="P21" s="110"/>
      <c r="Q21" s="110"/>
      <c r="R21" s="111"/>
      <c r="S21" s="39">
        <v>8.3000000000000007</v>
      </c>
      <c r="T21" s="39">
        <f t="shared" si="4"/>
        <v>9.5</v>
      </c>
      <c r="U21" s="39">
        <f t="shared" si="2"/>
        <v>49.800000000000004</v>
      </c>
      <c r="V21" s="39">
        <f t="shared" si="3"/>
        <v>57</v>
      </c>
      <c r="W21" s="3"/>
    </row>
    <row r="22" spans="1:23" s="4" customFormat="1" ht="18" customHeight="1">
      <c r="A22" s="25">
        <f t="shared" si="5"/>
        <v>13</v>
      </c>
      <c r="B22" s="26" t="s">
        <v>25</v>
      </c>
      <c r="C22" s="25">
        <f>C21+N22</f>
        <v>18</v>
      </c>
      <c r="D22" s="109"/>
      <c r="E22" s="109"/>
      <c r="F22" s="109"/>
      <c r="G22" s="17"/>
      <c r="H22" s="18"/>
      <c r="I22" s="18"/>
      <c r="J22" s="19">
        <v>45</v>
      </c>
      <c r="K22" s="19"/>
      <c r="L22" s="19"/>
      <c r="M22" s="18">
        <f t="shared" si="0"/>
        <v>45</v>
      </c>
      <c r="N22" s="20">
        <v>6</v>
      </c>
      <c r="O22" s="28">
        <f t="shared" si="1"/>
        <v>270</v>
      </c>
      <c r="P22" s="110"/>
      <c r="Q22" s="110"/>
      <c r="R22" s="111"/>
      <c r="S22" s="39">
        <v>7.3</v>
      </c>
      <c r="T22" s="39">
        <f t="shared" si="4"/>
        <v>8.5</v>
      </c>
      <c r="U22" s="39">
        <f t="shared" si="2"/>
        <v>43.8</v>
      </c>
      <c r="V22" s="39">
        <f t="shared" si="3"/>
        <v>51</v>
      </c>
      <c r="W22" s="3"/>
    </row>
    <row r="23" spans="1:23" s="4" customFormat="1" ht="18" customHeight="1">
      <c r="A23" s="25">
        <f t="shared" si="5"/>
        <v>19</v>
      </c>
      <c r="B23" s="26" t="s">
        <v>25</v>
      </c>
      <c r="C23" s="25">
        <f>C22+N23</f>
        <v>22</v>
      </c>
      <c r="D23" s="109"/>
      <c r="E23" s="109"/>
      <c r="F23" s="109"/>
      <c r="G23" s="17"/>
      <c r="H23" s="18"/>
      <c r="I23" s="18"/>
      <c r="J23" s="19"/>
      <c r="K23" s="19">
        <v>40</v>
      </c>
      <c r="L23" s="19"/>
      <c r="M23" s="18">
        <f t="shared" si="0"/>
        <v>40</v>
      </c>
      <c r="N23" s="20">
        <v>4</v>
      </c>
      <c r="O23" s="28">
        <f t="shared" si="1"/>
        <v>160</v>
      </c>
      <c r="P23" s="110"/>
      <c r="Q23" s="110"/>
      <c r="R23" s="111"/>
      <c r="S23" s="39">
        <v>7.6</v>
      </c>
      <c r="T23" s="39">
        <f t="shared" si="4"/>
        <v>8.7999999999999989</v>
      </c>
      <c r="U23" s="39">
        <f t="shared" si="2"/>
        <v>30.4</v>
      </c>
      <c r="V23" s="39">
        <f t="shared" si="3"/>
        <v>35.199999999999996</v>
      </c>
      <c r="W23" s="3"/>
    </row>
    <row r="24" spans="1:23" s="4" customFormat="1" ht="18" customHeight="1">
      <c r="A24" s="25">
        <f t="shared" si="5"/>
        <v>23</v>
      </c>
      <c r="B24" s="26" t="s">
        <v>25</v>
      </c>
      <c r="C24" s="25">
        <f t="shared" ref="C24:C25" si="6">C23+N24</f>
        <v>23</v>
      </c>
      <c r="D24" s="109"/>
      <c r="E24" s="109"/>
      <c r="F24" s="109"/>
      <c r="G24" s="17">
        <v>47</v>
      </c>
      <c r="H24" s="18">
        <v>15</v>
      </c>
      <c r="I24" s="18">
        <v>3</v>
      </c>
      <c r="J24" s="19"/>
      <c r="K24" s="19"/>
      <c r="L24" s="19"/>
      <c r="M24" s="18">
        <f t="shared" si="0"/>
        <v>65</v>
      </c>
      <c r="N24" s="20">
        <v>1</v>
      </c>
      <c r="O24" s="28">
        <f t="shared" si="1"/>
        <v>65</v>
      </c>
      <c r="P24" s="110"/>
      <c r="Q24" s="110"/>
      <c r="R24" s="111"/>
      <c r="S24" s="39">
        <v>9.4</v>
      </c>
      <c r="T24" s="39">
        <f t="shared" si="4"/>
        <v>10.6</v>
      </c>
      <c r="U24" s="39">
        <f t="shared" si="2"/>
        <v>9.4</v>
      </c>
      <c r="V24" s="39">
        <f t="shared" si="3"/>
        <v>10.6</v>
      </c>
      <c r="W24" s="3"/>
    </row>
    <row r="25" spans="1:23" s="4" customFormat="1" ht="18" customHeight="1">
      <c r="A25" s="25">
        <f t="shared" si="5"/>
        <v>24</v>
      </c>
      <c r="B25" s="26" t="s">
        <v>25</v>
      </c>
      <c r="C25" s="25">
        <f t="shared" si="6"/>
        <v>24</v>
      </c>
      <c r="D25" s="109"/>
      <c r="E25" s="109"/>
      <c r="F25" s="109"/>
      <c r="G25" s="17"/>
      <c r="H25" s="18"/>
      <c r="I25" s="18"/>
      <c r="J25" s="19"/>
      <c r="K25" s="19">
        <v>35</v>
      </c>
      <c r="L25" s="19"/>
      <c r="M25" s="18">
        <f t="shared" si="0"/>
        <v>35</v>
      </c>
      <c r="N25" s="20">
        <v>1</v>
      </c>
      <c r="O25" s="28">
        <f t="shared" si="1"/>
        <v>35</v>
      </c>
      <c r="P25" s="110"/>
      <c r="Q25" s="110"/>
      <c r="R25" s="111"/>
      <c r="S25" s="39">
        <v>8.3000000000000007</v>
      </c>
      <c r="T25" s="39">
        <f t="shared" si="4"/>
        <v>9.5</v>
      </c>
      <c r="U25" s="39">
        <f t="shared" si="2"/>
        <v>8.3000000000000007</v>
      </c>
      <c r="V25" s="39">
        <f t="shared" si="3"/>
        <v>9.5</v>
      </c>
      <c r="W25" s="3"/>
    </row>
    <row r="26" spans="1:23" s="23" customFormat="1" ht="21.95" customHeight="1">
      <c r="A26" s="112" t="s">
        <v>2</v>
      </c>
      <c r="B26" s="112"/>
      <c r="C26" s="112"/>
      <c r="D26" s="112"/>
      <c r="E26" s="112"/>
      <c r="F26" s="112"/>
      <c r="G26" s="52">
        <f>O19+G24</f>
        <v>167</v>
      </c>
      <c r="H26" s="53">
        <f>O20+H24</f>
        <v>255</v>
      </c>
      <c r="I26" s="53">
        <f>O21+I24</f>
        <v>303</v>
      </c>
      <c r="J26" s="53">
        <f>O22</f>
        <v>270</v>
      </c>
      <c r="K26" s="53">
        <f>O23+K25</f>
        <v>195</v>
      </c>
      <c r="L26" s="53"/>
      <c r="M26" s="54"/>
      <c r="N26" s="55">
        <f>SUM(N19:N25)</f>
        <v>24</v>
      </c>
      <c r="O26" s="56">
        <f>SUM(O19:O25)</f>
        <v>1190</v>
      </c>
      <c r="P26" s="113">
        <f>(P19*Q19*R19)/1000000*N26</f>
        <v>1.2012</v>
      </c>
      <c r="Q26" s="113"/>
      <c r="R26" s="113"/>
      <c r="S26" s="57"/>
      <c r="T26" s="58"/>
      <c r="U26" s="59">
        <f>SUM(U19:U25)</f>
        <v>195.5</v>
      </c>
      <c r="V26" s="59">
        <f>SUM(V19:V25)</f>
        <v>224.29999999999998</v>
      </c>
    </row>
    <row r="27" spans="1:23" ht="15" customHeight="1">
      <c r="A27" s="114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6"/>
      <c r="W27" s="2"/>
    </row>
    <row r="28" spans="1:23" s="6" customFormat="1" ht="15" customHeight="1">
      <c r="A28" s="103" t="s">
        <v>5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46"/>
      <c r="N28" s="47">
        <f>N26</f>
        <v>24</v>
      </c>
      <c r="O28" s="48">
        <f>O26</f>
        <v>1190</v>
      </c>
      <c r="P28" s="117">
        <f>P26</f>
        <v>1.2012</v>
      </c>
      <c r="Q28" s="117"/>
      <c r="R28" s="117"/>
      <c r="S28" s="49"/>
      <c r="T28" s="49"/>
      <c r="U28" s="50">
        <f>U26</f>
        <v>195.5</v>
      </c>
      <c r="V28" s="50">
        <f>V26</f>
        <v>224.29999999999998</v>
      </c>
      <c r="W28" s="5"/>
    </row>
    <row r="29" spans="1:23" ht="15" customHeight="1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</row>
    <row r="30" spans="1:23" s="7" customFormat="1" ht="30" customHeight="1">
      <c r="A30" s="106" t="s">
        <v>10</v>
      </c>
      <c r="B30" s="106"/>
      <c r="C30" s="106"/>
      <c r="D30" s="103" t="str">
        <f>D17</f>
        <v>COLOR</v>
      </c>
      <c r="E30" s="103"/>
      <c r="F30" s="103"/>
      <c r="G30" s="51" t="str">
        <f>G18</f>
        <v>S</v>
      </c>
      <c r="H30" s="51" t="str">
        <f>H18</f>
        <v>M</v>
      </c>
      <c r="I30" s="51" t="str">
        <f>I18</f>
        <v>L</v>
      </c>
      <c r="J30" s="51" t="str">
        <f>J18</f>
        <v>XL</v>
      </c>
      <c r="K30" s="51" t="str">
        <f>K18</f>
        <v>XXL</v>
      </c>
      <c r="L30" s="51" t="str">
        <f>L18</f>
        <v>3XL</v>
      </c>
      <c r="M30" s="103" t="s">
        <v>2</v>
      </c>
      <c r="N30" s="103"/>
      <c r="O30" s="69"/>
      <c r="P30" s="69"/>
      <c r="S30" s="69"/>
      <c r="T30" s="69"/>
      <c r="U30" s="69"/>
      <c r="V30" s="69"/>
    </row>
    <row r="31" spans="1:23" s="7" customFormat="1" ht="24.95" customHeight="1">
      <c r="A31" s="119" t="s">
        <v>12</v>
      </c>
      <c r="B31" s="119"/>
      <c r="C31" s="119"/>
      <c r="D31" s="120" t="str">
        <f>D19</f>
        <v>Grey Marl</v>
      </c>
      <c r="E31" s="121"/>
      <c r="F31" s="121"/>
      <c r="G31" s="64">
        <v>170</v>
      </c>
      <c r="H31" s="64">
        <v>260</v>
      </c>
      <c r="I31" s="64">
        <v>300</v>
      </c>
      <c r="J31" s="64">
        <v>270</v>
      </c>
      <c r="K31" s="64">
        <v>200</v>
      </c>
      <c r="L31" s="64"/>
      <c r="M31" s="122">
        <f>G31+H31+I31+J31+K31+L31</f>
        <v>1200</v>
      </c>
      <c r="N31" s="122"/>
      <c r="O31" s="22"/>
      <c r="P31" s="21"/>
      <c r="S31" s="69"/>
      <c r="T31" s="69"/>
      <c r="U31" s="69"/>
      <c r="V31" s="69"/>
    </row>
    <row r="32" spans="1:23" s="7" customFormat="1" ht="24.95" customHeight="1">
      <c r="A32" s="119" t="s">
        <v>30</v>
      </c>
      <c r="B32" s="119"/>
      <c r="C32" s="119"/>
      <c r="D32" s="121"/>
      <c r="E32" s="121"/>
      <c r="F32" s="121"/>
      <c r="G32" s="64">
        <f t="shared" ref="G32:K32" si="7">G26</f>
        <v>167</v>
      </c>
      <c r="H32" s="64">
        <f t="shared" si="7"/>
        <v>255</v>
      </c>
      <c r="I32" s="64">
        <f t="shared" si="7"/>
        <v>303</v>
      </c>
      <c r="J32" s="64">
        <f t="shared" si="7"/>
        <v>270</v>
      </c>
      <c r="K32" s="64">
        <f t="shared" si="7"/>
        <v>195</v>
      </c>
      <c r="L32" s="64"/>
      <c r="M32" s="122">
        <f>G32+H32+I32+J32+K32+L32</f>
        <v>1190</v>
      </c>
      <c r="N32" s="122"/>
      <c r="O32" s="22"/>
      <c r="P32" s="21"/>
      <c r="S32" s="69"/>
      <c r="T32" s="69"/>
      <c r="U32" s="69"/>
      <c r="V32" s="69"/>
    </row>
  </sheetData>
  <mergeCells count="40">
    <mergeCell ref="A31:C31"/>
    <mergeCell ref="D31:F32"/>
    <mergeCell ref="M31:N31"/>
    <mergeCell ref="A32:C32"/>
    <mergeCell ref="M32:N32"/>
    <mergeCell ref="A27:V27"/>
    <mergeCell ref="A28:L28"/>
    <mergeCell ref="P28:R28"/>
    <mergeCell ref="A29:V29"/>
    <mergeCell ref="A30:C30"/>
    <mergeCell ref="D30:F30"/>
    <mergeCell ref="M30:N30"/>
    <mergeCell ref="D19:F25"/>
    <mergeCell ref="P19:P25"/>
    <mergeCell ref="Q19:Q25"/>
    <mergeCell ref="R19:R25"/>
    <mergeCell ref="A26:F26"/>
    <mergeCell ref="P26:R26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DBAE2-C627-456B-8270-AD10E73166E0}">
  <sheetPr>
    <tabColor rgb="FFCC0000"/>
    <pageSetUpPr fitToPage="1"/>
  </sheetPr>
  <dimension ref="A1:W32"/>
  <sheetViews>
    <sheetView showGridLines="0" view="pageBreakPreview" topLeftCell="A15" zoomScaleNormal="62" zoomScaleSheetLayoutView="100" workbookViewId="0">
      <selection activeCell="R33" sqref="R33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184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185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1060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M32</f>
        <v>1071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11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N28</f>
        <v>21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180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65" t="s">
        <v>22</v>
      </c>
      <c r="J18" s="65" t="s">
        <v>93</v>
      </c>
      <c r="K18" s="65" t="s">
        <v>94</v>
      </c>
      <c r="L18" s="65" t="s">
        <v>95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3</v>
      </c>
      <c r="D19" s="109" t="s">
        <v>186</v>
      </c>
      <c r="E19" s="109"/>
      <c r="F19" s="109"/>
      <c r="G19" s="17">
        <v>60</v>
      </c>
      <c r="H19" s="18"/>
      <c r="I19" s="18"/>
      <c r="J19" s="19"/>
      <c r="K19" s="19"/>
      <c r="L19" s="19"/>
      <c r="M19" s="18">
        <f t="shared" ref="M19:M25" si="0">SUM(G19:L19)</f>
        <v>60</v>
      </c>
      <c r="N19" s="20">
        <v>3</v>
      </c>
      <c r="O19" s="28">
        <f t="shared" ref="O19:O25" si="1">M19*N19</f>
        <v>180</v>
      </c>
      <c r="P19" s="110">
        <v>55</v>
      </c>
      <c r="Q19" s="110">
        <v>35</v>
      </c>
      <c r="R19" s="111">
        <v>26</v>
      </c>
      <c r="S19" s="39">
        <v>10.7</v>
      </c>
      <c r="T19" s="39">
        <f>S19+1.2</f>
        <v>11.899999999999999</v>
      </c>
      <c r="U19" s="39">
        <f t="shared" ref="U19:U25" si="2">S19*N19</f>
        <v>32.099999999999994</v>
      </c>
      <c r="V19" s="39">
        <f t="shared" ref="V19:V25" si="3">T19*N19</f>
        <v>35.699999999999996</v>
      </c>
      <c r="W19" s="3"/>
    </row>
    <row r="20" spans="1:23" s="4" customFormat="1" ht="18" customHeight="1">
      <c r="A20" s="25">
        <f>C19+1</f>
        <v>4</v>
      </c>
      <c r="B20" s="26" t="s">
        <v>25</v>
      </c>
      <c r="C20" s="25">
        <f>C19+N20</f>
        <v>7</v>
      </c>
      <c r="D20" s="109"/>
      <c r="E20" s="109"/>
      <c r="F20" s="109"/>
      <c r="G20" s="17"/>
      <c r="H20" s="18">
        <v>60</v>
      </c>
      <c r="I20" s="18"/>
      <c r="J20" s="19"/>
      <c r="K20" s="19"/>
      <c r="L20" s="19"/>
      <c r="M20" s="18">
        <f t="shared" si="0"/>
        <v>60</v>
      </c>
      <c r="N20" s="20">
        <v>4</v>
      </c>
      <c r="O20" s="28">
        <f t="shared" si="1"/>
        <v>240</v>
      </c>
      <c r="P20" s="110"/>
      <c r="Q20" s="110"/>
      <c r="R20" s="111"/>
      <c r="S20" s="39">
        <v>11.5</v>
      </c>
      <c r="T20" s="39">
        <f t="shared" ref="T20:T25" si="4">S20+1.2</f>
        <v>12.7</v>
      </c>
      <c r="U20" s="39">
        <f t="shared" si="2"/>
        <v>46</v>
      </c>
      <c r="V20" s="39">
        <f t="shared" si="3"/>
        <v>50.8</v>
      </c>
      <c r="W20" s="3"/>
    </row>
    <row r="21" spans="1:23" s="4" customFormat="1" ht="18" customHeight="1">
      <c r="A21" s="25">
        <f t="shared" ref="A21:A25" si="5">C20+1</f>
        <v>8</v>
      </c>
      <c r="B21" s="26" t="s">
        <v>25</v>
      </c>
      <c r="C21" s="25">
        <f>C20+N21</f>
        <v>11</v>
      </c>
      <c r="D21" s="109"/>
      <c r="E21" s="109"/>
      <c r="F21" s="109"/>
      <c r="G21" s="17"/>
      <c r="H21" s="18"/>
      <c r="I21" s="18">
        <v>50</v>
      </c>
      <c r="J21" s="19"/>
      <c r="K21" s="19"/>
      <c r="L21" s="19"/>
      <c r="M21" s="18">
        <f t="shared" si="0"/>
        <v>50</v>
      </c>
      <c r="N21" s="20">
        <v>4</v>
      </c>
      <c r="O21" s="28">
        <f t="shared" si="1"/>
        <v>200</v>
      </c>
      <c r="P21" s="110"/>
      <c r="Q21" s="110"/>
      <c r="R21" s="111"/>
      <c r="S21" s="39">
        <v>10.199999999999999</v>
      </c>
      <c r="T21" s="39">
        <f t="shared" si="4"/>
        <v>11.399999999999999</v>
      </c>
      <c r="U21" s="39">
        <f t="shared" si="2"/>
        <v>40.799999999999997</v>
      </c>
      <c r="V21" s="39">
        <f t="shared" si="3"/>
        <v>45.599999999999994</v>
      </c>
      <c r="W21" s="3"/>
    </row>
    <row r="22" spans="1:23" s="4" customFormat="1" ht="18" customHeight="1">
      <c r="A22" s="25">
        <f t="shared" si="5"/>
        <v>12</v>
      </c>
      <c r="B22" s="26" t="s">
        <v>25</v>
      </c>
      <c r="C22" s="25">
        <f>C21+N22</f>
        <v>15</v>
      </c>
      <c r="D22" s="109"/>
      <c r="E22" s="109"/>
      <c r="F22" s="109"/>
      <c r="G22" s="17"/>
      <c r="H22" s="18"/>
      <c r="I22" s="18"/>
      <c r="J22" s="19">
        <v>50</v>
      </c>
      <c r="K22" s="19"/>
      <c r="L22" s="19"/>
      <c r="M22" s="18">
        <f t="shared" si="0"/>
        <v>50</v>
      </c>
      <c r="N22" s="20">
        <v>4</v>
      </c>
      <c r="O22" s="28">
        <f t="shared" si="1"/>
        <v>200</v>
      </c>
      <c r="P22" s="110"/>
      <c r="Q22" s="110"/>
      <c r="R22" s="111"/>
      <c r="S22" s="39">
        <v>10.9</v>
      </c>
      <c r="T22" s="39">
        <f t="shared" si="4"/>
        <v>12.1</v>
      </c>
      <c r="U22" s="39">
        <f t="shared" si="2"/>
        <v>43.6</v>
      </c>
      <c r="V22" s="39">
        <f t="shared" si="3"/>
        <v>48.4</v>
      </c>
      <c r="W22" s="3"/>
    </row>
    <row r="23" spans="1:23" s="4" customFormat="1" ht="18" customHeight="1">
      <c r="A23" s="25">
        <f t="shared" si="5"/>
        <v>16</v>
      </c>
      <c r="B23" s="26" t="s">
        <v>25</v>
      </c>
      <c r="C23" s="25">
        <f>C22+N23</f>
        <v>19</v>
      </c>
      <c r="D23" s="109"/>
      <c r="E23" s="109"/>
      <c r="F23" s="109"/>
      <c r="G23" s="17"/>
      <c r="H23" s="18"/>
      <c r="I23" s="18"/>
      <c r="J23" s="19"/>
      <c r="K23" s="19">
        <v>40</v>
      </c>
      <c r="L23" s="19"/>
      <c r="M23" s="18">
        <f t="shared" si="0"/>
        <v>40</v>
      </c>
      <c r="N23" s="20">
        <v>4</v>
      </c>
      <c r="O23" s="28">
        <f t="shared" si="1"/>
        <v>160</v>
      </c>
      <c r="P23" s="110"/>
      <c r="Q23" s="110"/>
      <c r="R23" s="111"/>
      <c r="S23" s="39">
        <v>9.4</v>
      </c>
      <c r="T23" s="39">
        <f t="shared" si="4"/>
        <v>10.6</v>
      </c>
      <c r="U23" s="39">
        <f t="shared" si="2"/>
        <v>37.6</v>
      </c>
      <c r="V23" s="39">
        <f t="shared" si="3"/>
        <v>42.4</v>
      </c>
      <c r="W23" s="3"/>
    </row>
    <row r="24" spans="1:23" s="4" customFormat="1" ht="18" customHeight="1">
      <c r="A24" s="25">
        <f t="shared" si="5"/>
        <v>20</v>
      </c>
      <c r="B24" s="26" t="s">
        <v>25</v>
      </c>
      <c r="C24" s="25">
        <f t="shared" ref="C24:C25" si="6">C23+N24</f>
        <v>20</v>
      </c>
      <c r="D24" s="109"/>
      <c r="E24" s="109"/>
      <c r="F24" s="109"/>
      <c r="G24" s="17">
        <v>21</v>
      </c>
      <c r="H24" s="18">
        <v>14</v>
      </c>
      <c r="I24" s="18"/>
      <c r="J24" s="19">
        <v>4</v>
      </c>
      <c r="K24" s="19">
        <v>4</v>
      </c>
      <c r="L24" s="19"/>
      <c r="M24" s="18">
        <f t="shared" si="0"/>
        <v>43</v>
      </c>
      <c r="N24" s="20">
        <v>1</v>
      </c>
      <c r="O24" s="28">
        <f t="shared" si="1"/>
        <v>43</v>
      </c>
      <c r="P24" s="110"/>
      <c r="Q24" s="110"/>
      <c r="R24" s="111"/>
      <c r="S24" s="39">
        <v>8.4</v>
      </c>
      <c r="T24" s="39">
        <f t="shared" si="4"/>
        <v>9.6</v>
      </c>
      <c r="U24" s="39">
        <f t="shared" si="2"/>
        <v>8.4</v>
      </c>
      <c r="V24" s="39">
        <f t="shared" si="3"/>
        <v>9.6</v>
      </c>
      <c r="W24" s="3"/>
    </row>
    <row r="25" spans="1:23" s="4" customFormat="1" ht="18" customHeight="1">
      <c r="A25" s="25">
        <f t="shared" si="5"/>
        <v>21</v>
      </c>
      <c r="B25" s="26" t="s">
        <v>25</v>
      </c>
      <c r="C25" s="25">
        <f t="shared" si="6"/>
        <v>21</v>
      </c>
      <c r="D25" s="109"/>
      <c r="E25" s="109"/>
      <c r="F25" s="109"/>
      <c r="G25" s="17"/>
      <c r="H25" s="18"/>
      <c r="I25" s="18">
        <v>48</v>
      </c>
      <c r="J25" s="19"/>
      <c r="K25" s="19"/>
      <c r="L25" s="19"/>
      <c r="M25" s="18">
        <f t="shared" si="0"/>
        <v>48</v>
      </c>
      <c r="N25" s="20">
        <v>1</v>
      </c>
      <c r="O25" s="28">
        <f t="shared" si="1"/>
        <v>48</v>
      </c>
      <c r="P25" s="110"/>
      <c r="Q25" s="110"/>
      <c r="R25" s="111"/>
      <c r="S25" s="39">
        <v>10.199999999999999</v>
      </c>
      <c r="T25" s="39">
        <f t="shared" si="4"/>
        <v>11.399999999999999</v>
      </c>
      <c r="U25" s="39">
        <f t="shared" si="2"/>
        <v>10.199999999999999</v>
      </c>
      <c r="V25" s="39">
        <f t="shared" si="3"/>
        <v>11.399999999999999</v>
      </c>
      <c r="W25" s="3"/>
    </row>
    <row r="26" spans="1:23" s="23" customFormat="1" ht="21.95" customHeight="1">
      <c r="A26" s="112" t="s">
        <v>2</v>
      </c>
      <c r="B26" s="112"/>
      <c r="C26" s="112"/>
      <c r="D26" s="112"/>
      <c r="E26" s="112"/>
      <c r="F26" s="112"/>
      <c r="G26" s="52">
        <f>O19+G24</f>
        <v>201</v>
      </c>
      <c r="H26" s="53">
        <f>O20+H24</f>
        <v>254</v>
      </c>
      <c r="I26" s="53">
        <f>O21+I25</f>
        <v>248</v>
      </c>
      <c r="J26" s="53">
        <f>O22+J24</f>
        <v>204</v>
      </c>
      <c r="K26" s="53">
        <f>O23+K24</f>
        <v>164</v>
      </c>
      <c r="L26" s="53"/>
      <c r="M26" s="54"/>
      <c r="N26" s="55">
        <f>SUM(N19:N25)</f>
        <v>21</v>
      </c>
      <c r="O26" s="56">
        <f>SUM(O19:O25)</f>
        <v>1071</v>
      </c>
      <c r="P26" s="113">
        <f>(P19*Q19*R19)/1000000*N26</f>
        <v>1.05105</v>
      </c>
      <c r="Q26" s="113"/>
      <c r="R26" s="113"/>
      <c r="S26" s="57"/>
      <c r="T26" s="58"/>
      <c r="U26" s="59">
        <f>SUM(U19:U25)</f>
        <v>218.7</v>
      </c>
      <c r="V26" s="59">
        <f>SUM(V19:V25)</f>
        <v>243.9</v>
      </c>
    </row>
    <row r="27" spans="1:23" ht="15" customHeight="1">
      <c r="A27" s="114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6"/>
      <c r="W27" s="2"/>
    </row>
    <row r="28" spans="1:23" s="6" customFormat="1" ht="15" customHeight="1">
      <c r="A28" s="103" t="s">
        <v>5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46"/>
      <c r="N28" s="47">
        <f>N26</f>
        <v>21</v>
      </c>
      <c r="O28" s="48">
        <f>O26</f>
        <v>1071</v>
      </c>
      <c r="P28" s="117">
        <f>P26</f>
        <v>1.05105</v>
      </c>
      <c r="Q28" s="117"/>
      <c r="R28" s="117"/>
      <c r="S28" s="49"/>
      <c r="T28" s="49"/>
      <c r="U28" s="50">
        <f>U26</f>
        <v>218.7</v>
      </c>
      <c r="V28" s="50">
        <f>V26</f>
        <v>243.9</v>
      </c>
      <c r="W28" s="5"/>
    </row>
    <row r="29" spans="1:23" ht="15" customHeight="1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</row>
    <row r="30" spans="1:23" s="7" customFormat="1" ht="30" customHeight="1">
      <c r="A30" s="106" t="s">
        <v>10</v>
      </c>
      <c r="B30" s="106"/>
      <c r="C30" s="106"/>
      <c r="D30" s="103" t="str">
        <f>D17</f>
        <v>COLOR</v>
      </c>
      <c r="E30" s="103"/>
      <c r="F30" s="103"/>
      <c r="G30" s="51" t="str">
        <f t="shared" ref="G30:L30" si="7">G18</f>
        <v>S</v>
      </c>
      <c r="H30" s="51" t="str">
        <f t="shared" si="7"/>
        <v>M</v>
      </c>
      <c r="I30" s="51" t="str">
        <f t="shared" si="7"/>
        <v>L</v>
      </c>
      <c r="J30" s="51" t="str">
        <f t="shared" si="7"/>
        <v>XL</v>
      </c>
      <c r="K30" s="51" t="str">
        <f t="shared" si="7"/>
        <v>XXL</v>
      </c>
      <c r="L30" s="51" t="str">
        <f t="shared" si="7"/>
        <v>3XL</v>
      </c>
      <c r="M30" s="103" t="s">
        <v>2</v>
      </c>
      <c r="N30" s="103"/>
      <c r="O30" s="69"/>
      <c r="P30" s="69"/>
      <c r="S30" s="69"/>
      <c r="T30" s="69"/>
      <c r="U30" s="69"/>
      <c r="V30" s="69"/>
    </row>
    <row r="31" spans="1:23" s="7" customFormat="1" ht="24.95" customHeight="1">
      <c r="A31" s="119" t="s">
        <v>12</v>
      </c>
      <c r="B31" s="119"/>
      <c r="C31" s="119"/>
      <c r="D31" s="120" t="str">
        <f>D19</f>
        <v>Light Grey Marl</v>
      </c>
      <c r="E31" s="121"/>
      <c r="F31" s="121"/>
      <c r="G31" s="64">
        <v>200</v>
      </c>
      <c r="H31" s="64">
        <v>250</v>
      </c>
      <c r="I31" s="64">
        <v>250</v>
      </c>
      <c r="J31" s="64">
        <v>200</v>
      </c>
      <c r="K31" s="64">
        <v>160</v>
      </c>
      <c r="L31" s="64"/>
      <c r="M31" s="122">
        <f>G31+H31+I31+J31+K31+L31</f>
        <v>1060</v>
      </c>
      <c r="N31" s="122"/>
      <c r="O31" s="22"/>
      <c r="P31" s="21"/>
      <c r="S31" s="69"/>
      <c r="T31" s="69"/>
      <c r="U31" s="69"/>
      <c r="V31" s="69"/>
    </row>
    <row r="32" spans="1:23" s="7" customFormat="1" ht="24.95" customHeight="1">
      <c r="A32" s="119" t="s">
        <v>30</v>
      </c>
      <c r="B32" s="119"/>
      <c r="C32" s="119"/>
      <c r="D32" s="121"/>
      <c r="E32" s="121"/>
      <c r="F32" s="121"/>
      <c r="G32" s="64">
        <f t="shared" ref="G32:K32" si="8">G26</f>
        <v>201</v>
      </c>
      <c r="H32" s="64">
        <f t="shared" si="8"/>
        <v>254</v>
      </c>
      <c r="I32" s="64">
        <f t="shared" si="8"/>
        <v>248</v>
      </c>
      <c r="J32" s="64">
        <f t="shared" si="8"/>
        <v>204</v>
      </c>
      <c r="K32" s="64">
        <f t="shared" si="8"/>
        <v>164</v>
      </c>
      <c r="L32" s="64">
        <f>L26</f>
        <v>0</v>
      </c>
      <c r="M32" s="122">
        <f>G32+H32+I32+J32+K32+L32</f>
        <v>1071</v>
      </c>
      <c r="N32" s="122"/>
      <c r="O32" s="22"/>
      <c r="P32" s="21"/>
      <c r="S32" s="69"/>
      <c r="T32" s="69"/>
      <c r="U32" s="69"/>
      <c r="V32" s="69"/>
    </row>
  </sheetData>
  <mergeCells count="40">
    <mergeCell ref="A31:C31"/>
    <mergeCell ref="D31:F32"/>
    <mergeCell ref="M31:N31"/>
    <mergeCell ref="A32:C32"/>
    <mergeCell ref="M32:N32"/>
    <mergeCell ref="A27:V27"/>
    <mergeCell ref="A28:L28"/>
    <mergeCell ref="P28:R28"/>
    <mergeCell ref="A29:V29"/>
    <mergeCell ref="A30:C30"/>
    <mergeCell ref="D30:F30"/>
    <mergeCell ref="M30:N30"/>
    <mergeCell ref="D19:F25"/>
    <mergeCell ref="P19:P25"/>
    <mergeCell ref="Q19:Q25"/>
    <mergeCell ref="R19:R25"/>
    <mergeCell ref="A26:F26"/>
    <mergeCell ref="P26:R26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223B1-4EDB-4CB0-B232-E216B283706F}">
  <sheetPr>
    <tabColor rgb="FFFF5050"/>
    <pageSetUpPr fitToPage="1"/>
  </sheetPr>
  <dimension ref="A1:W33"/>
  <sheetViews>
    <sheetView showGridLines="0" view="pageBreakPreview" topLeftCell="A16" zoomScaleNormal="62" zoomScaleSheetLayoutView="100" workbookViewId="0">
      <selection activeCell="S24" sqref="S24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189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183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1410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M33</f>
        <v>1427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17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N29</f>
        <v>28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187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65" t="s">
        <v>22</v>
      </c>
      <c r="J18" s="65" t="s">
        <v>93</v>
      </c>
      <c r="K18" s="65" t="s">
        <v>94</v>
      </c>
      <c r="L18" s="65" t="s">
        <v>95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4</v>
      </c>
      <c r="D19" s="109" t="s">
        <v>188</v>
      </c>
      <c r="E19" s="109"/>
      <c r="F19" s="109"/>
      <c r="G19" s="17">
        <v>60</v>
      </c>
      <c r="H19" s="18"/>
      <c r="I19" s="18"/>
      <c r="J19" s="19"/>
      <c r="K19" s="19"/>
      <c r="L19" s="19"/>
      <c r="M19" s="18">
        <f t="shared" ref="M19:M26" si="0">SUM(G19:L19)</f>
        <v>60</v>
      </c>
      <c r="N19" s="20">
        <v>4</v>
      </c>
      <c r="O19" s="28">
        <f t="shared" ref="O19:O26" si="1">M19*N19</f>
        <v>240</v>
      </c>
      <c r="P19" s="110">
        <v>55</v>
      </c>
      <c r="Q19" s="110">
        <v>35</v>
      </c>
      <c r="R19" s="111">
        <v>26</v>
      </c>
      <c r="S19" s="39">
        <v>10.8</v>
      </c>
      <c r="T19" s="39">
        <f>S19+1.2</f>
        <v>12</v>
      </c>
      <c r="U19" s="39">
        <f t="shared" ref="U19:U26" si="2">S19*N19</f>
        <v>43.2</v>
      </c>
      <c r="V19" s="39">
        <f t="shared" ref="V19:V26" si="3">T19*N19</f>
        <v>48</v>
      </c>
      <c r="W19" s="3"/>
    </row>
    <row r="20" spans="1:23" s="4" customFormat="1" ht="18" customHeight="1">
      <c r="A20" s="25">
        <f>C19+1</f>
        <v>5</v>
      </c>
      <c r="B20" s="26" t="s">
        <v>25</v>
      </c>
      <c r="C20" s="25">
        <f>C19+N20</f>
        <v>9</v>
      </c>
      <c r="D20" s="109"/>
      <c r="E20" s="109"/>
      <c r="F20" s="109"/>
      <c r="G20" s="17"/>
      <c r="H20" s="18">
        <v>60</v>
      </c>
      <c r="I20" s="18"/>
      <c r="J20" s="19"/>
      <c r="K20" s="19"/>
      <c r="L20" s="19"/>
      <c r="M20" s="18">
        <f t="shared" si="0"/>
        <v>60</v>
      </c>
      <c r="N20" s="20">
        <v>5</v>
      </c>
      <c r="O20" s="28">
        <f t="shared" si="1"/>
        <v>300</v>
      </c>
      <c r="P20" s="110"/>
      <c r="Q20" s="110"/>
      <c r="R20" s="111"/>
      <c r="S20" s="39">
        <v>11.5</v>
      </c>
      <c r="T20" s="39">
        <f t="shared" ref="T20:T26" si="4">S20+1.2</f>
        <v>12.7</v>
      </c>
      <c r="U20" s="39">
        <f t="shared" si="2"/>
        <v>57.5</v>
      </c>
      <c r="V20" s="39">
        <f t="shared" si="3"/>
        <v>63.5</v>
      </c>
      <c r="W20" s="3"/>
    </row>
    <row r="21" spans="1:23" s="4" customFormat="1" ht="18" customHeight="1">
      <c r="A21" s="25">
        <f t="shared" ref="A21:A26" si="5">C20+1</f>
        <v>10</v>
      </c>
      <c r="B21" s="26" t="s">
        <v>25</v>
      </c>
      <c r="C21" s="25">
        <f>C20+N21</f>
        <v>16</v>
      </c>
      <c r="D21" s="109"/>
      <c r="E21" s="109"/>
      <c r="F21" s="109"/>
      <c r="G21" s="17"/>
      <c r="H21" s="18"/>
      <c r="I21" s="18">
        <v>50</v>
      </c>
      <c r="J21" s="19"/>
      <c r="K21" s="19"/>
      <c r="L21" s="19"/>
      <c r="M21" s="18">
        <f t="shared" si="0"/>
        <v>50</v>
      </c>
      <c r="N21" s="20">
        <v>7</v>
      </c>
      <c r="O21" s="28">
        <f t="shared" si="1"/>
        <v>350</v>
      </c>
      <c r="P21" s="110"/>
      <c r="Q21" s="110"/>
      <c r="R21" s="111"/>
      <c r="S21" s="39">
        <v>10.3</v>
      </c>
      <c r="T21" s="39">
        <f t="shared" si="4"/>
        <v>11.5</v>
      </c>
      <c r="U21" s="39">
        <f t="shared" si="2"/>
        <v>72.100000000000009</v>
      </c>
      <c r="V21" s="39">
        <f t="shared" si="3"/>
        <v>80.5</v>
      </c>
      <c r="W21" s="3"/>
    </row>
    <row r="22" spans="1:23" s="4" customFormat="1" ht="18" customHeight="1">
      <c r="A22" s="25">
        <f t="shared" si="5"/>
        <v>17</v>
      </c>
      <c r="B22" s="26" t="s">
        <v>25</v>
      </c>
      <c r="C22" s="25">
        <f>C21+N22</f>
        <v>21</v>
      </c>
      <c r="D22" s="109"/>
      <c r="E22" s="109"/>
      <c r="F22" s="109"/>
      <c r="G22" s="17"/>
      <c r="H22" s="18"/>
      <c r="I22" s="18"/>
      <c r="J22" s="19">
        <v>50</v>
      </c>
      <c r="K22" s="19"/>
      <c r="L22" s="19"/>
      <c r="M22" s="18">
        <f t="shared" si="0"/>
        <v>50</v>
      </c>
      <c r="N22" s="20">
        <v>5</v>
      </c>
      <c r="O22" s="28">
        <f t="shared" si="1"/>
        <v>250</v>
      </c>
      <c r="P22" s="110"/>
      <c r="Q22" s="110"/>
      <c r="R22" s="111"/>
      <c r="S22" s="39">
        <v>11</v>
      </c>
      <c r="T22" s="39">
        <f t="shared" si="4"/>
        <v>12.2</v>
      </c>
      <c r="U22" s="39">
        <f t="shared" si="2"/>
        <v>55</v>
      </c>
      <c r="V22" s="39">
        <f t="shared" si="3"/>
        <v>61</v>
      </c>
      <c r="W22" s="3"/>
    </row>
    <row r="23" spans="1:23" s="4" customFormat="1" ht="18" customHeight="1">
      <c r="A23" s="25">
        <f t="shared" si="5"/>
        <v>22</v>
      </c>
      <c r="B23" s="26" t="s">
        <v>25</v>
      </c>
      <c r="C23" s="25">
        <f>C22+N23</f>
        <v>25</v>
      </c>
      <c r="D23" s="109"/>
      <c r="E23" s="109"/>
      <c r="F23" s="109"/>
      <c r="G23" s="17"/>
      <c r="H23" s="18"/>
      <c r="I23" s="18"/>
      <c r="J23" s="19"/>
      <c r="K23" s="19">
        <v>40</v>
      </c>
      <c r="L23" s="19"/>
      <c r="M23" s="18">
        <f t="shared" si="0"/>
        <v>40</v>
      </c>
      <c r="N23" s="20">
        <v>4</v>
      </c>
      <c r="O23" s="28">
        <f t="shared" si="1"/>
        <v>160</v>
      </c>
      <c r="P23" s="110"/>
      <c r="Q23" s="110"/>
      <c r="R23" s="111"/>
      <c r="S23" s="39">
        <v>9.5</v>
      </c>
      <c r="T23" s="39">
        <f t="shared" si="4"/>
        <v>10.7</v>
      </c>
      <c r="U23" s="39">
        <f t="shared" si="2"/>
        <v>38</v>
      </c>
      <c r="V23" s="39">
        <f t="shared" si="3"/>
        <v>42.8</v>
      </c>
      <c r="W23" s="3"/>
    </row>
    <row r="24" spans="1:23" s="4" customFormat="1" ht="18" customHeight="1">
      <c r="A24" s="25">
        <f t="shared" si="5"/>
        <v>26</v>
      </c>
      <c r="B24" s="26" t="s">
        <v>25</v>
      </c>
      <c r="C24" s="25">
        <f t="shared" ref="C24:C26" si="6">C23+N24</f>
        <v>26</v>
      </c>
      <c r="D24" s="109"/>
      <c r="E24" s="109"/>
      <c r="F24" s="109"/>
      <c r="G24" s="17">
        <v>31</v>
      </c>
      <c r="H24" s="18"/>
      <c r="I24" s="18"/>
      <c r="J24" s="19"/>
      <c r="K24" s="19"/>
      <c r="L24" s="19"/>
      <c r="M24" s="18">
        <f t="shared" si="0"/>
        <v>31</v>
      </c>
      <c r="N24" s="20">
        <v>1</v>
      </c>
      <c r="O24" s="28">
        <f t="shared" si="1"/>
        <v>31</v>
      </c>
      <c r="P24" s="110"/>
      <c r="Q24" s="110"/>
      <c r="R24" s="111"/>
      <c r="S24" s="39">
        <v>8.1999999999999993</v>
      </c>
      <c r="T24" s="39">
        <f t="shared" si="4"/>
        <v>9.3999999999999986</v>
      </c>
      <c r="U24" s="39">
        <f t="shared" si="2"/>
        <v>8.1999999999999993</v>
      </c>
      <c r="V24" s="39">
        <f t="shared" si="3"/>
        <v>9.3999999999999986</v>
      </c>
      <c r="W24" s="3"/>
    </row>
    <row r="25" spans="1:23" s="4" customFormat="1" ht="18" customHeight="1">
      <c r="A25" s="25">
        <f t="shared" si="5"/>
        <v>27</v>
      </c>
      <c r="B25" s="26" t="s">
        <v>25</v>
      </c>
      <c r="C25" s="25">
        <f t="shared" si="6"/>
        <v>27</v>
      </c>
      <c r="D25" s="109"/>
      <c r="E25" s="109"/>
      <c r="F25" s="109"/>
      <c r="G25" s="17"/>
      <c r="H25" s="18">
        <v>55</v>
      </c>
      <c r="I25" s="18"/>
      <c r="J25" s="19"/>
      <c r="K25" s="19"/>
      <c r="L25" s="19"/>
      <c r="M25" s="18">
        <f t="shared" si="0"/>
        <v>55</v>
      </c>
      <c r="N25" s="20">
        <v>1</v>
      </c>
      <c r="O25" s="28">
        <f t="shared" si="1"/>
        <v>55</v>
      </c>
      <c r="P25" s="110"/>
      <c r="Q25" s="110"/>
      <c r="R25" s="111"/>
      <c r="S25" s="39">
        <v>10.8</v>
      </c>
      <c r="T25" s="39">
        <f t="shared" si="4"/>
        <v>12</v>
      </c>
      <c r="U25" s="39">
        <f t="shared" si="2"/>
        <v>10.8</v>
      </c>
      <c r="V25" s="39">
        <f t="shared" si="3"/>
        <v>12</v>
      </c>
      <c r="W25" s="3"/>
    </row>
    <row r="26" spans="1:23" s="4" customFormat="1" ht="18" customHeight="1">
      <c r="A26" s="25">
        <f t="shared" si="5"/>
        <v>28</v>
      </c>
      <c r="B26" s="26" t="s">
        <v>25</v>
      </c>
      <c r="C26" s="25">
        <f t="shared" si="6"/>
        <v>28</v>
      </c>
      <c r="D26" s="109"/>
      <c r="E26" s="109"/>
      <c r="F26" s="109"/>
      <c r="G26" s="17"/>
      <c r="H26" s="18"/>
      <c r="I26" s="18">
        <v>5</v>
      </c>
      <c r="J26" s="19">
        <v>13</v>
      </c>
      <c r="K26" s="19">
        <v>23</v>
      </c>
      <c r="L26" s="19"/>
      <c r="M26" s="18">
        <f t="shared" si="0"/>
        <v>41</v>
      </c>
      <c r="N26" s="20">
        <v>1</v>
      </c>
      <c r="O26" s="28">
        <f t="shared" si="1"/>
        <v>41</v>
      </c>
      <c r="P26" s="110"/>
      <c r="Q26" s="110"/>
      <c r="R26" s="111"/>
      <c r="S26" s="39">
        <v>9.4</v>
      </c>
      <c r="T26" s="39">
        <f t="shared" si="4"/>
        <v>10.6</v>
      </c>
      <c r="U26" s="39">
        <f t="shared" si="2"/>
        <v>9.4</v>
      </c>
      <c r="V26" s="39">
        <f t="shared" si="3"/>
        <v>10.6</v>
      </c>
      <c r="W26" s="3"/>
    </row>
    <row r="27" spans="1:23" s="23" customFormat="1" ht="21.95" customHeight="1">
      <c r="A27" s="112" t="s">
        <v>2</v>
      </c>
      <c r="B27" s="112"/>
      <c r="C27" s="112"/>
      <c r="D27" s="112"/>
      <c r="E27" s="112"/>
      <c r="F27" s="112"/>
      <c r="G27" s="52">
        <f>O19+G24</f>
        <v>271</v>
      </c>
      <c r="H27" s="53">
        <f>O20+H25</f>
        <v>355</v>
      </c>
      <c r="I27" s="53">
        <f>O21+I26</f>
        <v>355</v>
      </c>
      <c r="J27" s="53">
        <f>O22+J26</f>
        <v>263</v>
      </c>
      <c r="K27" s="53">
        <f>O23+K26</f>
        <v>183</v>
      </c>
      <c r="L27" s="53"/>
      <c r="M27" s="54"/>
      <c r="N27" s="55">
        <f>SUM(N19:N26)</f>
        <v>28</v>
      </c>
      <c r="O27" s="56">
        <f>SUM(O19:O26)</f>
        <v>1427</v>
      </c>
      <c r="P27" s="113">
        <f>(P19*Q19*R19)/1000000*N27</f>
        <v>1.4014</v>
      </c>
      <c r="Q27" s="113"/>
      <c r="R27" s="113"/>
      <c r="S27" s="57"/>
      <c r="T27" s="58"/>
      <c r="U27" s="59">
        <f>SUM(U19:U26)</f>
        <v>294.2</v>
      </c>
      <c r="V27" s="59">
        <f>SUM(V19:V26)</f>
        <v>327.8</v>
      </c>
    </row>
    <row r="28" spans="1:23" ht="15" customHeight="1">
      <c r="A28" s="114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6"/>
      <c r="W28" s="2"/>
    </row>
    <row r="29" spans="1:23" s="6" customFormat="1" ht="15" customHeight="1">
      <c r="A29" s="103" t="s">
        <v>5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46"/>
      <c r="N29" s="47">
        <f>N27</f>
        <v>28</v>
      </c>
      <c r="O29" s="48">
        <f>O27</f>
        <v>1427</v>
      </c>
      <c r="P29" s="117">
        <f>P27</f>
        <v>1.4014</v>
      </c>
      <c r="Q29" s="117"/>
      <c r="R29" s="117"/>
      <c r="S29" s="49"/>
      <c r="T29" s="49"/>
      <c r="U29" s="50">
        <f>U27</f>
        <v>294.2</v>
      </c>
      <c r="V29" s="50">
        <f>V27</f>
        <v>327.8</v>
      </c>
      <c r="W29" s="5"/>
    </row>
    <row r="30" spans="1:23" ht="15" customHeight="1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</row>
    <row r="31" spans="1:23" s="7" customFormat="1" ht="30" customHeight="1">
      <c r="A31" s="106" t="s">
        <v>10</v>
      </c>
      <c r="B31" s="106"/>
      <c r="C31" s="106"/>
      <c r="D31" s="103" t="str">
        <f>D17</f>
        <v>COLOR</v>
      </c>
      <c r="E31" s="103"/>
      <c r="F31" s="103"/>
      <c r="G31" s="51" t="str">
        <f t="shared" ref="G31:L31" si="7">G18</f>
        <v>S</v>
      </c>
      <c r="H31" s="51" t="str">
        <f t="shared" si="7"/>
        <v>M</v>
      </c>
      <c r="I31" s="51" t="str">
        <f t="shared" si="7"/>
        <v>L</v>
      </c>
      <c r="J31" s="51" t="str">
        <f t="shared" si="7"/>
        <v>XL</v>
      </c>
      <c r="K31" s="51" t="str">
        <f t="shared" si="7"/>
        <v>XXL</v>
      </c>
      <c r="L31" s="51" t="str">
        <f t="shared" si="7"/>
        <v>3XL</v>
      </c>
      <c r="M31" s="103" t="s">
        <v>2</v>
      </c>
      <c r="N31" s="103"/>
      <c r="O31" s="69"/>
      <c r="P31" s="69"/>
      <c r="S31" s="69"/>
      <c r="T31" s="69"/>
      <c r="U31" s="69"/>
      <c r="V31" s="69"/>
    </row>
    <row r="32" spans="1:23" s="7" customFormat="1" ht="24.95" customHeight="1">
      <c r="A32" s="119" t="s">
        <v>12</v>
      </c>
      <c r="B32" s="119"/>
      <c r="C32" s="119"/>
      <c r="D32" s="120" t="str">
        <f>D19</f>
        <v>Slate Blue Marle</v>
      </c>
      <c r="E32" s="121"/>
      <c r="F32" s="121"/>
      <c r="G32" s="64">
        <v>270</v>
      </c>
      <c r="H32" s="64">
        <v>350</v>
      </c>
      <c r="I32" s="64">
        <v>350</v>
      </c>
      <c r="J32" s="64">
        <v>260</v>
      </c>
      <c r="K32" s="64">
        <v>180</v>
      </c>
      <c r="L32" s="64"/>
      <c r="M32" s="122">
        <f>G32+H32+I32+J32+K32+L32</f>
        <v>1410</v>
      </c>
      <c r="N32" s="122"/>
      <c r="O32" s="22"/>
      <c r="P32" s="21"/>
      <c r="S32" s="69"/>
      <c r="T32" s="69"/>
      <c r="U32" s="69"/>
      <c r="V32" s="69"/>
    </row>
    <row r="33" spans="1:22" s="7" customFormat="1" ht="24.95" customHeight="1">
      <c r="A33" s="119" t="s">
        <v>30</v>
      </c>
      <c r="B33" s="119"/>
      <c r="C33" s="119"/>
      <c r="D33" s="121"/>
      <c r="E33" s="121"/>
      <c r="F33" s="121"/>
      <c r="G33" s="64">
        <f t="shared" ref="G33:K33" si="8">G27</f>
        <v>271</v>
      </c>
      <c r="H33" s="64">
        <f t="shared" si="8"/>
        <v>355</v>
      </c>
      <c r="I33" s="64">
        <f t="shared" si="8"/>
        <v>355</v>
      </c>
      <c r="J33" s="64">
        <f t="shared" si="8"/>
        <v>263</v>
      </c>
      <c r="K33" s="64">
        <f t="shared" si="8"/>
        <v>183</v>
      </c>
      <c r="L33" s="64">
        <f>L27</f>
        <v>0</v>
      </c>
      <c r="M33" s="122">
        <f>G33+H33+I33+J33+K33+L33</f>
        <v>1427</v>
      </c>
      <c r="N33" s="122"/>
      <c r="O33" s="22"/>
      <c r="P33" s="21"/>
      <c r="S33" s="69"/>
      <c r="T33" s="69"/>
      <c r="U33" s="69"/>
      <c r="V33" s="69"/>
    </row>
  </sheetData>
  <mergeCells count="40">
    <mergeCell ref="A32:C32"/>
    <mergeCell ref="D32:F33"/>
    <mergeCell ref="M32:N32"/>
    <mergeCell ref="A33:C33"/>
    <mergeCell ref="M33:N33"/>
    <mergeCell ref="A28:V28"/>
    <mergeCell ref="A29:L29"/>
    <mergeCell ref="P29:R29"/>
    <mergeCell ref="A30:V30"/>
    <mergeCell ref="A31:C31"/>
    <mergeCell ref="D31:F31"/>
    <mergeCell ref="M31:N31"/>
    <mergeCell ref="D19:F26"/>
    <mergeCell ref="P19:P26"/>
    <mergeCell ref="Q19:Q26"/>
    <mergeCell ref="R19:R26"/>
    <mergeCell ref="A27:F27"/>
    <mergeCell ref="P27:R27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05AA-1F1C-482B-8CF8-FC8BCBC1B76D}">
  <sheetPr>
    <tabColor rgb="FFFFC000"/>
    <pageSetUpPr fitToPage="1"/>
  </sheetPr>
  <dimension ref="A1:W33"/>
  <sheetViews>
    <sheetView showGridLines="0" view="pageBreakPreview" topLeftCell="A18" zoomScaleNormal="62" zoomScaleSheetLayoutView="100" workbookViewId="0">
      <selection activeCell="S28" sqref="S28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190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194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1590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M33</f>
        <v>1611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21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N29</f>
        <v>33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89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65" t="s">
        <v>22</v>
      </c>
      <c r="J18" s="65" t="s">
        <v>93</v>
      </c>
      <c r="K18" s="65" t="s">
        <v>94</v>
      </c>
      <c r="L18" s="65" t="s">
        <v>95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6</v>
      </c>
      <c r="D19" s="109" t="s">
        <v>192</v>
      </c>
      <c r="E19" s="109"/>
      <c r="F19" s="109"/>
      <c r="G19" s="17">
        <v>55</v>
      </c>
      <c r="H19" s="18"/>
      <c r="I19" s="18"/>
      <c r="J19" s="19"/>
      <c r="K19" s="19"/>
      <c r="L19" s="19"/>
      <c r="M19" s="18">
        <f t="shared" ref="M19:M26" si="0">SUM(G19:L19)</f>
        <v>55</v>
      </c>
      <c r="N19" s="20">
        <v>6</v>
      </c>
      <c r="O19" s="28">
        <f t="shared" ref="O19:O26" si="1">M19*N19</f>
        <v>330</v>
      </c>
      <c r="P19" s="110">
        <v>55</v>
      </c>
      <c r="Q19" s="110">
        <v>35</v>
      </c>
      <c r="R19" s="111">
        <v>26</v>
      </c>
      <c r="S19" s="39">
        <v>10.3</v>
      </c>
      <c r="T19" s="39">
        <f>S19+1.2</f>
        <v>11.5</v>
      </c>
      <c r="U19" s="39">
        <f t="shared" ref="U19:U26" si="2">S19*N19</f>
        <v>61.800000000000004</v>
      </c>
      <c r="V19" s="39">
        <f t="shared" ref="V19:V26" si="3">T19*N19</f>
        <v>69</v>
      </c>
      <c r="W19" s="3"/>
    </row>
    <row r="20" spans="1:23" s="4" customFormat="1" ht="18" customHeight="1">
      <c r="A20" s="25">
        <f>C19+1</f>
        <v>7</v>
      </c>
      <c r="B20" s="26" t="s">
        <v>25</v>
      </c>
      <c r="C20" s="25">
        <f>C19+N20</f>
        <v>12</v>
      </c>
      <c r="D20" s="109"/>
      <c r="E20" s="109"/>
      <c r="F20" s="109"/>
      <c r="G20" s="17"/>
      <c r="H20" s="18">
        <v>55</v>
      </c>
      <c r="I20" s="18"/>
      <c r="J20" s="19"/>
      <c r="K20" s="19"/>
      <c r="L20" s="19"/>
      <c r="M20" s="18">
        <f t="shared" si="0"/>
        <v>55</v>
      </c>
      <c r="N20" s="20">
        <v>6</v>
      </c>
      <c r="O20" s="28">
        <f t="shared" si="1"/>
        <v>330</v>
      </c>
      <c r="P20" s="110"/>
      <c r="Q20" s="110"/>
      <c r="R20" s="111"/>
      <c r="S20" s="39">
        <v>10.9</v>
      </c>
      <c r="T20" s="39">
        <f t="shared" ref="T20:T26" si="4">S20+1.2</f>
        <v>12.1</v>
      </c>
      <c r="U20" s="39">
        <f t="shared" si="2"/>
        <v>65.400000000000006</v>
      </c>
      <c r="V20" s="39">
        <f t="shared" si="3"/>
        <v>72.599999999999994</v>
      </c>
      <c r="W20" s="3"/>
    </row>
    <row r="21" spans="1:23" s="4" customFormat="1" ht="18" customHeight="1">
      <c r="A21" s="25">
        <f t="shared" ref="A21:A26" si="5">C20+1</f>
        <v>13</v>
      </c>
      <c r="B21" s="26" t="s">
        <v>25</v>
      </c>
      <c r="C21" s="25">
        <f>C20+N21</f>
        <v>20</v>
      </c>
      <c r="D21" s="109"/>
      <c r="E21" s="109"/>
      <c r="F21" s="109"/>
      <c r="G21" s="17"/>
      <c r="H21" s="18"/>
      <c r="I21" s="18">
        <v>50</v>
      </c>
      <c r="J21" s="19"/>
      <c r="K21" s="19"/>
      <c r="L21" s="19"/>
      <c r="M21" s="18">
        <f t="shared" si="0"/>
        <v>50</v>
      </c>
      <c r="N21" s="20">
        <v>8</v>
      </c>
      <c r="O21" s="28">
        <f t="shared" si="1"/>
        <v>400</v>
      </c>
      <c r="P21" s="110"/>
      <c r="Q21" s="110"/>
      <c r="R21" s="111"/>
      <c r="S21" s="39">
        <v>10.6</v>
      </c>
      <c r="T21" s="39">
        <f t="shared" si="4"/>
        <v>11.799999999999999</v>
      </c>
      <c r="U21" s="39">
        <f t="shared" si="2"/>
        <v>84.8</v>
      </c>
      <c r="V21" s="39">
        <f t="shared" si="3"/>
        <v>94.399999999999991</v>
      </c>
      <c r="W21" s="3"/>
    </row>
    <row r="22" spans="1:23" s="4" customFormat="1" ht="18" customHeight="1">
      <c r="A22" s="25">
        <f t="shared" si="5"/>
        <v>21</v>
      </c>
      <c r="B22" s="26" t="s">
        <v>25</v>
      </c>
      <c r="C22" s="25">
        <f>C21+N22</f>
        <v>26</v>
      </c>
      <c r="D22" s="109"/>
      <c r="E22" s="109"/>
      <c r="F22" s="109"/>
      <c r="G22" s="17"/>
      <c r="H22" s="18"/>
      <c r="I22" s="18"/>
      <c r="J22" s="19">
        <v>40</v>
      </c>
      <c r="K22" s="19"/>
      <c r="L22" s="19"/>
      <c r="M22" s="18">
        <f t="shared" si="0"/>
        <v>40</v>
      </c>
      <c r="N22" s="20">
        <v>6</v>
      </c>
      <c r="O22" s="28">
        <f t="shared" si="1"/>
        <v>240</v>
      </c>
      <c r="P22" s="110"/>
      <c r="Q22" s="110"/>
      <c r="R22" s="111"/>
      <c r="S22" s="39">
        <v>9.1999999999999993</v>
      </c>
      <c r="T22" s="39">
        <f t="shared" si="4"/>
        <v>10.399999999999999</v>
      </c>
      <c r="U22" s="39">
        <f t="shared" si="2"/>
        <v>55.199999999999996</v>
      </c>
      <c r="V22" s="39">
        <f t="shared" si="3"/>
        <v>62.399999999999991</v>
      </c>
      <c r="W22" s="3"/>
    </row>
    <row r="23" spans="1:23" s="4" customFormat="1" ht="18" customHeight="1">
      <c r="A23" s="25">
        <f t="shared" si="5"/>
        <v>27</v>
      </c>
      <c r="B23" s="26" t="s">
        <v>25</v>
      </c>
      <c r="C23" s="25">
        <f>C22+N23</f>
        <v>30</v>
      </c>
      <c r="D23" s="109"/>
      <c r="E23" s="109"/>
      <c r="F23" s="109"/>
      <c r="G23" s="17"/>
      <c r="H23" s="18"/>
      <c r="I23" s="18"/>
      <c r="J23" s="19"/>
      <c r="K23" s="19">
        <v>40</v>
      </c>
      <c r="L23" s="19"/>
      <c r="M23" s="18">
        <f t="shared" si="0"/>
        <v>40</v>
      </c>
      <c r="N23" s="20">
        <v>4</v>
      </c>
      <c r="O23" s="28">
        <f t="shared" si="1"/>
        <v>160</v>
      </c>
      <c r="P23" s="110"/>
      <c r="Q23" s="110"/>
      <c r="R23" s="111"/>
      <c r="S23" s="39">
        <v>9.8000000000000007</v>
      </c>
      <c r="T23" s="39">
        <f t="shared" si="4"/>
        <v>11</v>
      </c>
      <c r="U23" s="39">
        <f t="shared" si="2"/>
        <v>39.200000000000003</v>
      </c>
      <c r="V23" s="39">
        <f t="shared" si="3"/>
        <v>44</v>
      </c>
      <c r="W23" s="3"/>
    </row>
    <row r="24" spans="1:23" s="4" customFormat="1" ht="18" customHeight="1">
      <c r="A24" s="25">
        <f t="shared" si="5"/>
        <v>31</v>
      </c>
      <c r="B24" s="26" t="s">
        <v>25</v>
      </c>
      <c r="C24" s="25">
        <f t="shared" ref="C24:C26" si="6">C23+N24</f>
        <v>31</v>
      </c>
      <c r="D24" s="109"/>
      <c r="E24" s="109"/>
      <c r="F24" s="109"/>
      <c r="G24" s="17">
        <v>38</v>
      </c>
      <c r="H24" s="18"/>
      <c r="I24" s="18">
        <v>29</v>
      </c>
      <c r="J24" s="19"/>
      <c r="K24" s="19"/>
      <c r="L24" s="19"/>
      <c r="M24" s="18">
        <f t="shared" si="0"/>
        <v>67</v>
      </c>
      <c r="N24" s="20">
        <v>1</v>
      </c>
      <c r="O24" s="28">
        <f t="shared" si="1"/>
        <v>67</v>
      </c>
      <c r="P24" s="110"/>
      <c r="Q24" s="110"/>
      <c r="R24" s="111"/>
      <c r="S24" s="39">
        <v>10.5</v>
      </c>
      <c r="T24" s="39">
        <f t="shared" si="4"/>
        <v>11.7</v>
      </c>
      <c r="U24" s="39">
        <f t="shared" si="2"/>
        <v>10.5</v>
      </c>
      <c r="V24" s="39">
        <f t="shared" si="3"/>
        <v>11.7</v>
      </c>
      <c r="W24" s="3"/>
    </row>
    <row r="25" spans="1:23" s="4" customFormat="1" ht="18" customHeight="1">
      <c r="A25" s="25">
        <f t="shared" si="5"/>
        <v>32</v>
      </c>
      <c r="B25" s="26" t="s">
        <v>25</v>
      </c>
      <c r="C25" s="25">
        <f t="shared" si="6"/>
        <v>32</v>
      </c>
      <c r="D25" s="109"/>
      <c r="E25" s="109"/>
      <c r="F25" s="109"/>
      <c r="G25" s="17"/>
      <c r="H25" s="18">
        <v>8</v>
      </c>
      <c r="I25" s="18"/>
      <c r="J25" s="19">
        <v>38</v>
      </c>
      <c r="K25" s="19"/>
      <c r="L25" s="19"/>
      <c r="M25" s="18">
        <f t="shared" si="0"/>
        <v>46</v>
      </c>
      <c r="N25" s="20">
        <v>1</v>
      </c>
      <c r="O25" s="28">
        <f t="shared" si="1"/>
        <v>46</v>
      </c>
      <c r="P25" s="110"/>
      <c r="Q25" s="110"/>
      <c r="R25" s="111"/>
      <c r="S25" s="39">
        <v>9.8000000000000007</v>
      </c>
      <c r="T25" s="39">
        <f t="shared" si="4"/>
        <v>11</v>
      </c>
      <c r="U25" s="39">
        <f t="shared" si="2"/>
        <v>9.8000000000000007</v>
      </c>
      <c r="V25" s="39">
        <f t="shared" si="3"/>
        <v>11</v>
      </c>
      <c r="W25" s="3"/>
    </row>
    <row r="26" spans="1:23" s="4" customFormat="1" ht="18" customHeight="1">
      <c r="A26" s="25">
        <f t="shared" si="5"/>
        <v>33</v>
      </c>
      <c r="B26" s="26" t="s">
        <v>25</v>
      </c>
      <c r="C26" s="25">
        <f t="shared" si="6"/>
        <v>33</v>
      </c>
      <c r="D26" s="109"/>
      <c r="E26" s="109"/>
      <c r="F26" s="109"/>
      <c r="G26" s="17"/>
      <c r="H26" s="18"/>
      <c r="I26" s="18"/>
      <c r="J26" s="19"/>
      <c r="K26" s="19">
        <v>38</v>
      </c>
      <c r="L26" s="19"/>
      <c r="M26" s="18">
        <f t="shared" si="0"/>
        <v>38</v>
      </c>
      <c r="N26" s="20">
        <v>1</v>
      </c>
      <c r="O26" s="28">
        <f t="shared" si="1"/>
        <v>38</v>
      </c>
      <c r="P26" s="110"/>
      <c r="Q26" s="110"/>
      <c r="R26" s="111"/>
      <c r="S26" s="39">
        <v>9.6</v>
      </c>
      <c r="T26" s="39">
        <f t="shared" si="4"/>
        <v>10.799999999999999</v>
      </c>
      <c r="U26" s="39">
        <f t="shared" si="2"/>
        <v>9.6</v>
      </c>
      <c r="V26" s="39">
        <f t="shared" si="3"/>
        <v>10.799999999999999</v>
      </c>
      <c r="W26" s="3"/>
    </row>
    <row r="27" spans="1:23" s="23" customFormat="1" ht="21.95" customHeight="1">
      <c r="A27" s="112" t="s">
        <v>2</v>
      </c>
      <c r="B27" s="112"/>
      <c r="C27" s="112"/>
      <c r="D27" s="112"/>
      <c r="E27" s="112"/>
      <c r="F27" s="112"/>
      <c r="G27" s="52">
        <f>O19+G24</f>
        <v>368</v>
      </c>
      <c r="H27" s="53">
        <f>O20+H25</f>
        <v>338</v>
      </c>
      <c r="I27" s="53">
        <f>O21+I24</f>
        <v>429</v>
      </c>
      <c r="J27" s="53">
        <f>O22+J25</f>
        <v>278</v>
      </c>
      <c r="K27" s="53">
        <f>O23+K26</f>
        <v>198</v>
      </c>
      <c r="L27" s="53"/>
      <c r="M27" s="54"/>
      <c r="N27" s="55">
        <f>SUM(N19:N26)</f>
        <v>33</v>
      </c>
      <c r="O27" s="56">
        <f>SUM(O19:O26)</f>
        <v>1611</v>
      </c>
      <c r="P27" s="113">
        <f>(P19*Q19*R19)/1000000*N27</f>
        <v>1.6516499999999998</v>
      </c>
      <c r="Q27" s="113"/>
      <c r="R27" s="113"/>
      <c r="S27" s="57"/>
      <c r="T27" s="58"/>
      <c r="U27" s="59">
        <f>SUM(U19:U26)</f>
        <v>336.3</v>
      </c>
      <c r="V27" s="59">
        <f>SUM(V19:V26)</f>
        <v>375.9</v>
      </c>
    </row>
    <row r="28" spans="1:23" ht="15" customHeight="1">
      <c r="A28" s="114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6"/>
      <c r="W28" s="2"/>
    </row>
    <row r="29" spans="1:23" s="6" customFormat="1" ht="15" customHeight="1">
      <c r="A29" s="103" t="s">
        <v>5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46"/>
      <c r="N29" s="47">
        <f>N27</f>
        <v>33</v>
      </c>
      <c r="O29" s="48">
        <f>O27</f>
        <v>1611</v>
      </c>
      <c r="P29" s="117">
        <f>P27</f>
        <v>1.6516499999999998</v>
      </c>
      <c r="Q29" s="117"/>
      <c r="R29" s="117"/>
      <c r="S29" s="49"/>
      <c r="T29" s="49"/>
      <c r="U29" s="50">
        <f>U27</f>
        <v>336.3</v>
      </c>
      <c r="V29" s="50">
        <f>V27</f>
        <v>375.9</v>
      </c>
      <c r="W29" s="5"/>
    </row>
    <row r="30" spans="1:23" ht="15" customHeight="1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</row>
    <row r="31" spans="1:23" s="7" customFormat="1" ht="30" customHeight="1">
      <c r="A31" s="106" t="s">
        <v>10</v>
      </c>
      <c r="B31" s="106"/>
      <c r="C31" s="106"/>
      <c r="D31" s="103" t="str">
        <f>D17</f>
        <v>COLOR</v>
      </c>
      <c r="E31" s="103"/>
      <c r="F31" s="103"/>
      <c r="G31" s="51" t="str">
        <f t="shared" ref="G31:L31" si="7">G18</f>
        <v>S</v>
      </c>
      <c r="H31" s="51" t="str">
        <f t="shared" si="7"/>
        <v>M</v>
      </c>
      <c r="I31" s="51" t="str">
        <f t="shared" si="7"/>
        <v>L</v>
      </c>
      <c r="J31" s="51" t="str">
        <f t="shared" si="7"/>
        <v>XL</v>
      </c>
      <c r="K31" s="51" t="str">
        <f t="shared" si="7"/>
        <v>XXL</v>
      </c>
      <c r="L31" s="51" t="str">
        <f t="shared" si="7"/>
        <v>3XL</v>
      </c>
      <c r="M31" s="103" t="s">
        <v>2</v>
      </c>
      <c r="N31" s="103"/>
      <c r="O31" s="69"/>
      <c r="P31" s="69"/>
      <c r="S31" s="69"/>
      <c r="T31" s="69"/>
      <c r="U31" s="69"/>
      <c r="V31" s="69"/>
    </row>
    <row r="32" spans="1:23" s="7" customFormat="1" ht="24.95" customHeight="1">
      <c r="A32" s="119" t="s">
        <v>12</v>
      </c>
      <c r="B32" s="119"/>
      <c r="C32" s="119"/>
      <c r="D32" s="120" t="str">
        <f>D19</f>
        <v>Khaki</v>
      </c>
      <c r="E32" s="121"/>
      <c r="F32" s="121"/>
      <c r="G32" s="64">
        <v>370</v>
      </c>
      <c r="H32" s="64">
        <v>350</v>
      </c>
      <c r="I32" s="64">
        <v>400</v>
      </c>
      <c r="J32" s="64">
        <v>270</v>
      </c>
      <c r="K32" s="64">
        <v>200</v>
      </c>
      <c r="L32" s="64"/>
      <c r="M32" s="122">
        <f>G32+H32+I32+J32+K32+L32</f>
        <v>1590</v>
      </c>
      <c r="N32" s="122"/>
      <c r="O32" s="22"/>
      <c r="P32" s="21"/>
      <c r="S32" s="69"/>
      <c r="T32" s="69"/>
      <c r="U32" s="69"/>
      <c r="V32" s="69"/>
    </row>
    <row r="33" spans="1:22" s="7" customFormat="1" ht="24.95" customHeight="1">
      <c r="A33" s="119" t="s">
        <v>30</v>
      </c>
      <c r="B33" s="119"/>
      <c r="C33" s="119"/>
      <c r="D33" s="121"/>
      <c r="E33" s="121"/>
      <c r="F33" s="121"/>
      <c r="G33" s="64">
        <f t="shared" ref="G33:K33" si="8">G27</f>
        <v>368</v>
      </c>
      <c r="H33" s="64">
        <f t="shared" si="8"/>
        <v>338</v>
      </c>
      <c r="I33" s="64">
        <f t="shared" si="8"/>
        <v>429</v>
      </c>
      <c r="J33" s="64">
        <f t="shared" si="8"/>
        <v>278</v>
      </c>
      <c r="K33" s="64">
        <f t="shared" si="8"/>
        <v>198</v>
      </c>
      <c r="L33" s="64"/>
      <c r="M33" s="122">
        <f>G33+H33+I33+J33+K33+L33</f>
        <v>1611</v>
      </c>
      <c r="N33" s="122"/>
      <c r="O33" s="22"/>
      <c r="P33" s="21"/>
      <c r="S33" s="69"/>
      <c r="T33" s="69"/>
      <c r="U33" s="69"/>
      <c r="V33" s="69"/>
    </row>
  </sheetData>
  <mergeCells count="40">
    <mergeCell ref="A32:C32"/>
    <mergeCell ref="D32:F33"/>
    <mergeCell ref="M32:N32"/>
    <mergeCell ref="A33:C33"/>
    <mergeCell ref="M33:N33"/>
    <mergeCell ref="A28:V28"/>
    <mergeCell ref="A29:L29"/>
    <mergeCell ref="P29:R29"/>
    <mergeCell ref="A30:V30"/>
    <mergeCell ref="A31:C31"/>
    <mergeCell ref="D31:F31"/>
    <mergeCell ref="M31:N31"/>
    <mergeCell ref="D19:F26"/>
    <mergeCell ref="P19:P26"/>
    <mergeCell ref="Q19:Q26"/>
    <mergeCell ref="R19:R26"/>
    <mergeCell ref="A27:F27"/>
    <mergeCell ref="P27:R27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F8F2A-56E3-4E6F-91F8-0BB3CB2D5A9F}">
  <sheetPr>
    <tabColor rgb="FFFFC000"/>
    <pageSetUpPr fitToPage="1"/>
  </sheetPr>
  <dimension ref="A1:W32"/>
  <sheetViews>
    <sheetView showGridLines="0" view="pageBreakPreview" topLeftCell="A16" zoomScaleNormal="62" zoomScaleSheetLayoutView="100" workbookViewId="0">
      <selection activeCell="S28" sqref="S28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193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194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1600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M32</f>
        <v>1647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47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N28</f>
        <v>32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89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65" t="s">
        <v>22</v>
      </c>
      <c r="J18" s="65" t="s">
        <v>93</v>
      </c>
      <c r="K18" s="65" t="s">
        <v>94</v>
      </c>
      <c r="L18" s="65" t="s">
        <v>95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5</v>
      </c>
      <c r="D19" s="109" t="s">
        <v>137</v>
      </c>
      <c r="E19" s="109"/>
      <c r="F19" s="109"/>
      <c r="G19" s="17">
        <v>55</v>
      </c>
      <c r="H19" s="18"/>
      <c r="I19" s="18"/>
      <c r="J19" s="19"/>
      <c r="K19" s="19"/>
      <c r="L19" s="19"/>
      <c r="M19" s="18">
        <f t="shared" ref="M19:M25" si="0">SUM(G19:L19)</f>
        <v>55</v>
      </c>
      <c r="N19" s="20">
        <v>5</v>
      </c>
      <c r="O19" s="28">
        <f t="shared" ref="O19:O25" si="1">M19*N19</f>
        <v>275</v>
      </c>
      <c r="P19" s="110">
        <v>55</v>
      </c>
      <c r="Q19" s="110">
        <v>35</v>
      </c>
      <c r="R19" s="111">
        <v>26</v>
      </c>
      <c r="S19" s="39">
        <v>10</v>
      </c>
      <c r="T19" s="39">
        <f>S19+1.2</f>
        <v>11.2</v>
      </c>
      <c r="U19" s="39">
        <f t="shared" ref="U19:U25" si="2">S19*N19</f>
        <v>50</v>
      </c>
      <c r="V19" s="39">
        <f t="shared" ref="V19:V25" si="3">T19*N19</f>
        <v>56</v>
      </c>
      <c r="W19" s="3"/>
    </row>
    <row r="20" spans="1:23" s="4" customFormat="1" ht="18" customHeight="1">
      <c r="A20" s="25">
        <f>C19+1</f>
        <v>6</v>
      </c>
      <c r="B20" s="26" t="s">
        <v>25</v>
      </c>
      <c r="C20" s="25">
        <f>C19+N20</f>
        <v>11</v>
      </c>
      <c r="D20" s="109"/>
      <c r="E20" s="109"/>
      <c r="F20" s="109"/>
      <c r="G20" s="17"/>
      <c r="H20" s="18">
        <v>55</v>
      </c>
      <c r="I20" s="18"/>
      <c r="J20" s="19"/>
      <c r="K20" s="19"/>
      <c r="L20" s="19"/>
      <c r="M20" s="18">
        <f t="shared" si="0"/>
        <v>55</v>
      </c>
      <c r="N20" s="20">
        <v>6</v>
      </c>
      <c r="O20" s="28">
        <f t="shared" si="1"/>
        <v>330</v>
      </c>
      <c r="P20" s="110"/>
      <c r="Q20" s="110"/>
      <c r="R20" s="111"/>
      <c r="S20" s="39">
        <v>10.6</v>
      </c>
      <c r="T20" s="39">
        <f t="shared" ref="T20:T25" si="4">S20+1.2</f>
        <v>11.799999999999999</v>
      </c>
      <c r="U20" s="39">
        <f t="shared" si="2"/>
        <v>63.599999999999994</v>
      </c>
      <c r="V20" s="39">
        <f t="shared" si="3"/>
        <v>70.8</v>
      </c>
      <c r="W20" s="3"/>
    </row>
    <row r="21" spans="1:23" s="4" customFormat="1" ht="18" customHeight="1">
      <c r="A21" s="25">
        <f t="shared" ref="A21:A25" si="5">C20+1</f>
        <v>12</v>
      </c>
      <c r="B21" s="26" t="s">
        <v>25</v>
      </c>
      <c r="C21" s="25">
        <f>C20+N21</f>
        <v>19</v>
      </c>
      <c r="D21" s="109"/>
      <c r="E21" s="109"/>
      <c r="F21" s="109"/>
      <c r="G21" s="17"/>
      <c r="H21" s="18"/>
      <c r="I21" s="18">
        <v>50</v>
      </c>
      <c r="J21" s="19"/>
      <c r="K21" s="19"/>
      <c r="L21" s="19"/>
      <c r="M21" s="18">
        <f t="shared" si="0"/>
        <v>50</v>
      </c>
      <c r="N21" s="20">
        <v>8</v>
      </c>
      <c r="O21" s="28">
        <f t="shared" si="1"/>
        <v>400</v>
      </c>
      <c r="P21" s="110"/>
      <c r="Q21" s="110"/>
      <c r="R21" s="111"/>
      <c r="S21" s="39">
        <v>10.3</v>
      </c>
      <c r="T21" s="39">
        <f t="shared" si="4"/>
        <v>11.5</v>
      </c>
      <c r="U21" s="39">
        <f t="shared" si="2"/>
        <v>82.4</v>
      </c>
      <c r="V21" s="39">
        <f t="shared" si="3"/>
        <v>92</v>
      </c>
      <c r="W21" s="3"/>
    </row>
    <row r="22" spans="1:23" s="4" customFormat="1" ht="18" customHeight="1">
      <c r="A22" s="25">
        <f t="shared" si="5"/>
        <v>20</v>
      </c>
      <c r="B22" s="26" t="s">
        <v>25</v>
      </c>
      <c r="C22" s="25">
        <f>C21+N22</f>
        <v>25</v>
      </c>
      <c r="D22" s="109"/>
      <c r="E22" s="109"/>
      <c r="F22" s="109"/>
      <c r="G22" s="17"/>
      <c r="H22" s="18"/>
      <c r="I22" s="18"/>
      <c r="J22" s="19">
        <v>50</v>
      </c>
      <c r="K22" s="19"/>
      <c r="L22" s="19"/>
      <c r="M22" s="18">
        <f t="shared" si="0"/>
        <v>50</v>
      </c>
      <c r="N22" s="20">
        <v>6</v>
      </c>
      <c r="O22" s="28">
        <f t="shared" si="1"/>
        <v>300</v>
      </c>
      <c r="P22" s="110"/>
      <c r="Q22" s="110"/>
      <c r="R22" s="111"/>
      <c r="S22" s="39">
        <v>11</v>
      </c>
      <c r="T22" s="39">
        <f t="shared" si="4"/>
        <v>12.2</v>
      </c>
      <c r="U22" s="39">
        <f t="shared" si="2"/>
        <v>66</v>
      </c>
      <c r="V22" s="39">
        <f t="shared" si="3"/>
        <v>73.199999999999989</v>
      </c>
      <c r="W22" s="3"/>
    </row>
    <row r="23" spans="1:23" s="4" customFormat="1" ht="18" customHeight="1">
      <c r="A23" s="25">
        <f t="shared" si="5"/>
        <v>26</v>
      </c>
      <c r="B23" s="26" t="s">
        <v>25</v>
      </c>
      <c r="C23" s="25">
        <f>C22+N23</f>
        <v>30</v>
      </c>
      <c r="D23" s="109"/>
      <c r="E23" s="109"/>
      <c r="F23" s="109"/>
      <c r="G23" s="17"/>
      <c r="H23" s="18"/>
      <c r="I23" s="18"/>
      <c r="J23" s="19"/>
      <c r="K23" s="19">
        <v>45</v>
      </c>
      <c r="L23" s="19"/>
      <c r="M23" s="18">
        <f t="shared" si="0"/>
        <v>45</v>
      </c>
      <c r="N23" s="20">
        <v>5</v>
      </c>
      <c r="O23" s="28">
        <f t="shared" si="1"/>
        <v>225</v>
      </c>
      <c r="P23" s="110"/>
      <c r="Q23" s="110"/>
      <c r="R23" s="111"/>
      <c r="S23" s="39">
        <v>10.7</v>
      </c>
      <c r="T23" s="39">
        <f t="shared" si="4"/>
        <v>11.899999999999999</v>
      </c>
      <c r="U23" s="39">
        <f t="shared" si="2"/>
        <v>53.5</v>
      </c>
      <c r="V23" s="39">
        <f t="shared" si="3"/>
        <v>59.499999999999993</v>
      </c>
      <c r="W23" s="3"/>
    </row>
    <row r="24" spans="1:23" s="4" customFormat="1" ht="18" customHeight="1">
      <c r="A24" s="25">
        <f t="shared" si="5"/>
        <v>31</v>
      </c>
      <c r="B24" s="26" t="s">
        <v>25</v>
      </c>
      <c r="C24" s="25">
        <f t="shared" ref="C24:C25" si="6">C23+N24</f>
        <v>31</v>
      </c>
      <c r="D24" s="109"/>
      <c r="E24" s="109"/>
      <c r="F24" s="109"/>
      <c r="G24" s="17">
        <v>39</v>
      </c>
      <c r="H24" s="18"/>
      <c r="I24" s="18"/>
      <c r="J24" s="19"/>
      <c r="K24" s="19">
        <v>25</v>
      </c>
      <c r="L24" s="19"/>
      <c r="M24" s="18">
        <f t="shared" si="0"/>
        <v>64</v>
      </c>
      <c r="N24" s="20">
        <v>1</v>
      </c>
      <c r="O24" s="28">
        <f t="shared" si="1"/>
        <v>64</v>
      </c>
      <c r="P24" s="110"/>
      <c r="Q24" s="110"/>
      <c r="R24" s="111"/>
      <c r="S24" s="39">
        <v>12.8</v>
      </c>
      <c r="T24" s="39">
        <f t="shared" si="4"/>
        <v>14</v>
      </c>
      <c r="U24" s="39">
        <f t="shared" si="2"/>
        <v>12.8</v>
      </c>
      <c r="V24" s="39">
        <f t="shared" si="3"/>
        <v>14</v>
      </c>
      <c r="W24" s="3"/>
    </row>
    <row r="25" spans="1:23" s="4" customFormat="1" ht="18" customHeight="1">
      <c r="A25" s="25">
        <f t="shared" si="5"/>
        <v>32</v>
      </c>
      <c r="B25" s="26" t="s">
        <v>25</v>
      </c>
      <c r="C25" s="25">
        <f t="shared" si="6"/>
        <v>32</v>
      </c>
      <c r="D25" s="109"/>
      <c r="E25" s="109"/>
      <c r="F25" s="109"/>
      <c r="G25" s="17"/>
      <c r="H25" s="18">
        <v>30</v>
      </c>
      <c r="I25" s="18">
        <v>14</v>
      </c>
      <c r="J25" s="19">
        <v>9</v>
      </c>
      <c r="K25" s="19"/>
      <c r="L25" s="19"/>
      <c r="M25" s="18">
        <f t="shared" si="0"/>
        <v>53</v>
      </c>
      <c r="N25" s="20">
        <v>1</v>
      </c>
      <c r="O25" s="28">
        <f t="shared" si="1"/>
        <v>53</v>
      </c>
      <c r="P25" s="110"/>
      <c r="Q25" s="110"/>
      <c r="R25" s="111"/>
      <c r="S25" s="39">
        <v>10.9</v>
      </c>
      <c r="T25" s="39">
        <f t="shared" si="4"/>
        <v>12.1</v>
      </c>
      <c r="U25" s="39">
        <f t="shared" si="2"/>
        <v>10.9</v>
      </c>
      <c r="V25" s="39">
        <f t="shared" si="3"/>
        <v>12.1</v>
      </c>
      <c r="W25" s="3"/>
    </row>
    <row r="26" spans="1:23" s="23" customFormat="1" ht="21.95" customHeight="1">
      <c r="A26" s="112" t="s">
        <v>2</v>
      </c>
      <c r="B26" s="112"/>
      <c r="C26" s="112"/>
      <c r="D26" s="112"/>
      <c r="E26" s="112"/>
      <c r="F26" s="112"/>
      <c r="G26" s="52">
        <f>O19+G24</f>
        <v>314</v>
      </c>
      <c r="H26" s="53">
        <f>O20+H25</f>
        <v>360</v>
      </c>
      <c r="I26" s="53">
        <f>O21+I25</f>
        <v>414</v>
      </c>
      <c r="J26" s="53">
        <f>O22+J25</f>
        <v>309</v>
      </c>
      <c r="K26" s="53">
        <f>O23+K24</f>
        <v>250</v>
      </c>
      <c r="L26" s="53"/>
      <c r="M26" s="54"/>
      <c r="N26" s="55">
        <f>SUM(N19:N25)</f>
        <v>32</v>
      </c>
      <c r="O26" s="56">
        <f>SUM(O19:O25)</f>
        <v>1647</v>
      </c>
      <c r="P26" s="113">
        <f>(P19*Q19*R19)/1000000*N26</f>
        <v>1.6015999999999999</v>
      </c>
      <c r="Q26" s="113"/>
      <c r="R26" s="113"/>
      <c r="S26" s="57"/>
      <c r="T26" s="58"/>
      <c r="U26" s="59">
        <f>SUM(U19:U25)</f>
        <v>339.2</v>
      </c>
      <c r="V26" s="59">
        <f>SUM(V19:V25)</f>
        <v>377.6</v>
      </c>
    </row>
    <row r="27" spans="1:23" ht="15" customHeight="1">
      <c r="A27" s="114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6"/>
      <c r="W27" s="2"/>
    </row>
    <row r="28" spans="1:23" s="6" customFormat="1" ht="15" customHeight="1">
      <c r="A28" s="103" t="s">
        <v>5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46"/>
      <c r="N28" s="47">
        <f>N26</f>
        <v>32</v>
      </c>
      <c r="O28" s="48">
        <f>O26</f>
        <v>1647</v>
      </c>
      <c r="P28" s="117">
        <f>P26</f>
        <v>1.6015999999999999</v>
      </c>
      <c r="Q28" s="117"/>
      <c r="R28" s="117"/>
      <c r="S28" s="49"/>
      <c r="T28" s="49"/>
      <c r="U28" s="50">
        <f>U26</f>
        <v>339.2</v>
      </c>
      <c r="V28" s="50">
        <f>V26</f>
        <v>377.6</v>
      </c>
      <c r="W28" s="5"/>
    </row>
    <row r="29" spans="1:23" ht="15" customHeight="1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</row>
    <row r="30" spans="1:23" s="7" customFormat="1" ht="30" customHeight="1">
      <c r="A30" s="106" t="s">
        <v>10</v>
      </c>
      <c r="B30" s="106"/>
      <c r="C30" s="106"/>
      <c r="D30" s="103" t="str">
        <f>D17</f>
        <v>COLOR</v>
      </c>
      <c r="E30" s="103"/>
      <c r="F30" s="103"/>
      <c r="G30" s="51" t="str">
        <f t="shared" ref="G30:L30" si="7">G18</f>
        <v>S</v>
      </c>
      <c r="H30" s="51" t="str">
        <f t="shared" si="7"/>
        <v>M</v>
      </c>
      <c r="I30" s="51" t="str">
        <f t="shared" si="7"/>
        <v>L</v>
      </c>
      <c r="J30" s="51" t="str">
        <f t="shared" si="7"/>
        <v>XL</v>
      </c>
      <c r="K30" s="51" t="str">
        <f t="shared" si="7"/>
        <v>XXL</v>
      </c>
      <c r="L30" s="51" t="str">
        <f t="shared" si="7"/>
        <v>3XL</v>
      </c>
      <c r="M30" s="103" t="s">
        <v>2</v>
      </c>
      <c r="N30" s="103"/>
      <c r="O30" s="69"/>
      <c r="P30" s="69"/>
      <c r="S30" s="69"/>
      <c r="T30" s="69"/>
      <c r="U30" s="69"/>
      <c r="V30" s="69"/>
    </row>
    <row r="31" spans="1:23" s="7" customFormat="1" ht="24.95" customHeight="1">
      <c r="A31" s="119" t="s">
        <v>12</v>
      </c>
      <c r="B31" s="119"/>
      <c r="C31" s="119"/>
      <c r="D31" s="120" t="str">
        <f>D19</f>
        <v>Navy</v>
      </c>
      <c r="E31" s="121"/>
      <c r="F31" s="121"/>
      <c r="G31" s="64">
        <v>300</v>
      </c>
      <c r="H31" s="64">
        <v>350</v>
      </c>
      <c r="I31" s="64">
        <v>400</v>
      </c>
      <c r="J31" s="64">
        <v>300</v>
      </c>
      <c r="K31" s="64">
        <v>250</v>
      </c>
      <c r="L31" s="64"/>
      <c r="M31" s="122">
        <f>G31+H31+I31+J31+K31+L31</f>
        <v>1600</v>
      </c>
      <c r="N31" s="122"/>
      <c r="O31" s="22"/>
      <c r="P31" s="21"/>
      <c r="S31" s="69"/>
      <c r="T31" s="69"/>
      <c r="U31" s="69"/>
      <c r="V31" s="69"/>
    </row>
    <row r="32" spans="1:23" s="7" customFormat="1" ht="24.95" customHeight="1">
      <c r="A32" s="119" t="s">
        <v>30</v>
      </c>
      <c r="B32" s="119"/>
      <c r="C32" s="119"/>
      <c r="D32" s="121"/>
      <c r="E32" s="121"/>
      <c r="F32" s="121"/>
      <c r="G32" s="64">
        <f t="shared" ref="G32:K32" si="8">G26</f>
        <v>314</v>
      </c>
      <c r="H32" s="64">
        <f t="shared" si="8"/>
        <v>360</v>
      </c>
      <c r="I32" s="64">
        <f t="shared" si="8"/>
        <v>414</v>
      </c>
      <c r="J32" s="64">
        <f t="shared" si="8"/>
        <v>309</v>
      </c>
      <c r="K32" s="64">
        <f t="shared" si="8"/>
        <v>250</v>
      </c>
      <c r="L32" s="64"/>
      <c r="M32" s="122">
        <f>G32+H32+I32+J32+K32+L32</f>
        <v>1647</v>
      </c>
      <c r="N32" s="122"/>
      <c r="O32" s="22"/>
      <c r="P32" s="21"/>
      <c r="S32" s="69"/>
      <c r="T32" s="69"/>
      <c r="U32" s="69"/>
      <c r="V32" s="69"/>
    </row>
  </sheetData>
  <mergeCells count="40">
    <mergeCell ref="A31:C31"/>
    <mergeCell ref="D31:F32"/>
    <mergeCell ref="M31:N31"/>
    <mergeCell ref="A32:C32"/>
    <mergeCell ref="M32:N32"/>
    <mergeCell ref="A27:V27"/>
    <mergeCell ref="A28:L28"/>
    <mergeCell ref="P28:R28"/>
    <mergeCell ref="A29:V29"/>
    <mergeCell ref="A30:C30"/>
    <mergeCell ref="D30:F30"/>
    <mergeCell ref="M30:N30"/>
    <mergeCell ref="D19:F25"/>
    <mergeCell ref="P19:P25"/>
    <mergeCell ref="Q19:Q25"/>
    <mergeCell ref="R19:R25"/>
    <mergeCell ref="A26:F26"/>
    <mergeCell ref="P26:R26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F24B-F372-4EC1-8CB2-F100D43491A7}">
  <sheetPr>
    <tabColor rgb="FFCC0000"/>
    <pageSetUpPr fitToPage="1"/>
  </sheetPr>
  <dimension ref="A1:W31"/>
  <sheetViews>
    <sheetView showGridLines="0" view="pageBreakPreview" topLeftCell="A18" zoomScaleNormal="62" zoomScaleSheetLayoutView="100" workbookViewId="0">
      <selection activeCell="R33" sqref="R33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195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191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1900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M31</f>
        <v>1916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16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N27</f>
        <v>37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89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65" t="s">
        <v>22</v>
      </c>
      <c r="J18" s="65" t="s">
        <v>93</v>
      </c>
      <c r="K18" s="65" t="s">
        <v>94</v>
      </c>
      <c r="L18" s="65" t="s">
        <v>95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6</v>
      </c>
      <c r="D19" s="109" t="s">
        <v>99</v>
      </c>
      <c r="E19" s="109"/>
      <c r="F19" s="109"/>
      <c r="G19" s="17">
        <v>60</v>
      </c>
      <c r="H19" s="18"/>
      <c r="I19" s="18"/>
      <c r="J19" s="19"/>
      <c r="K19" s="19"/>
      <c r="L19" s="19"/>
      <c r="M19" s="18">
        <f t="shared" ref="M19:M24" si="0">SUM(G19:L19)</f>
        <v>60</v>
      </c>
      <c r="N19" s="20">
        <v>6</v>
      </c>
      <c r="O19" s="28">
        <f t="shared" ref="O19:O24" si="1">M19*N19</f>
        <v>360</v>
      </c>
      <c r="P19" s="110">
        <v>55</v>
      </c>
      <c r="Q19" s="110">
        <v>35</v>
      </c>
      <c r="R19" s="111">
        <v>26</v>
      </c>
      <c r="S19" s="39">
        <v>9.6</v>
      </c>
      <c r="T19" s="39">
        <f>S19+1.2</f>
        <v>10.799999999999999</v>
      </c>
      <c r="U19" s="39">
        <f t="shared" ref="U19:U24" si="2">S19*N19</f>
        <v>57.599999999999994</v>
      </c>
      <c r="V19" s="39">
        <f t="shared" ref="V19:V24" si="3">T19*N19</f>
        <v>64.8</v>
      </c>
      <c r="W19" s="3"/>
    </row>
    <row r="20" spans="1:23" s="4" customFormat="1" ht="18" customHeight="1">
      <c r="A20" s="25">
        <f>C19+1</f>
        <v>7</v>
      </c>
      <c r="B20" s="26" t="s">
        <v>25</v>
      </c>
      <c r="C20" s="25">
        <f>C19+N20</f>
        <v>14</v>
      </c>
      <c r="D20" s="109"/>
      <c r="E20" s="109"/>
      <c r="F20" s="109"/>
      <c r="G20" s="17"/>
      <c r="H20" s="18">
        <v>55</v>
      </c>
      <c r="I20" s="18"/>
      <c r="J20" s="19"/>
      <c r="K20" s="19"/>
      <c r="L20" s="19"/>
      <c r="M20" s="18">
        <f t="shared" si="0"/>
        <v>55</v>
      </c>
      <c r="N20" s="20">
        <v>8</v>
      </c>
      <c r="O20" s="28">
        <f t="shared" si="1"/>
        <v>440</v>
      </c>
      <c r="P20" s="110"/>
      <c r="Q20" s="110"/>
      <c r="R20" s="111"/>
      <c r="S20" s="39">
        <v>9.8000000000000007</v>
      </c>
      <c r="T20" s="39">
        <f t="shared" ref="T20:T24" si="4">S20+1.2</f>
        <v>11</v>
      </c>
      <c r="U20" s="39">
        <f t="shared" si="2"/>
        <v>78.400000000000006</v>
      </c>
      <c r="V20" s="39">
        <f t="shared" si="3"/>
        <v>88</v>
      </c>
      <c r="W20" s="3"/>
    </row>
    <row r="21" spans="1:23" s="4" customFormat="1" ht="18" customHeight="1">
      <c r="A21" s="25">
        <f t="shared" ref="A21:A24" si="5">C20+1</f>
        <v>15</v>
      </c>
      <c r="B21" s="26" t="s">
        <v>25</v>
      </c>
      <c r="C21" s="25">
        <f>C20+N21</f>
        <v>23</v>
      </c>
      <c r="D21" s="109"/>
      <c r="E21" s="109"/>
      <c r="F21" s="109"/>
      <c r="G21" s="17"/>
      <c r="H21" s="18"/>
      <c r="I21" s="18">
        <v>50</v>
      </c>
      <c r="J21" s="19"/>
      <c r="K21" s="19"/>
      <c r="L21" s="19"/>
      <c r="M21" s="18">
        <f t="shared" si="0"/>
        <v>50</v>
      </c>
      <c r="N21" s="20">
        <v>9</v>
      </c>
      <c r="O21" s="28">
        <f t="shared" si="1"/>
        <v>450</v>
      </c>
      <c r="P21" s="110"/>
      <c r="Q21" s="110"/>
      <c r="R21" s="111"/>
      <c r="S21" s="39">
        <v>9.1</v>
      </c>
      <c r="T21" s="39">
        <f t="shared" si="4"/>
        <v>10.299999999999999</v>
      </c>
      <c r="U21" s="39">
        <f t="shared" si="2"/>
        <v>81.899999999999991</v>
      </c>
      <c r="V21" s="39">
        <f t="shared" si="3"/>
        <v>92.699999999999989</v>
      </c>
      <c r="W21" s="3"/>
    </row>
    <row r="22" spans="1:23" s="4" customFormat="1" ht="18" customHeight="1">
      <c r="A22" s="25">
        <f t="shared" si="5"/>
        <v>24</v>
      </c>
      <c r="B22" s="26" t="s">
        <v>25</v>
      </c>
      <c r="C22" s="25">
        <f>C21+N22</f>
        <v>31</v>
      </c>
      <c r="D22" s="109"/>
      <c r="E22" s="109"/>
      <c r="F22" s="109"/>
      <c r="G22" s="17"/>
      <c r="H22" s="18"/>
      <c r="I22" s="18"/>
      <c r="J22" s="19">
        <v>50</v>
      </c>
      <c r="K22" s="19"/>
      <c r="L22" s="19"/>
      <c r="M22" s="18">
        <f t="shared" si="0"/>
        <v>50</v>
      </c>
      <c r="N22" s="20">
        <v>8</v>
      </c>
      <c r="O22" s="28">
        <f t="shared" si="1"/>
        <v>400</v>
      </c>
      <c r="P22" s="110"/>
      <c r="Q22" s="110"/>
      <c r="R22" s="111"/>
      <c r="S22" s="39">
        <v>9.9</v>
      </c>
      <c r="T22" s="39">
        <f t="shared" si="4"/>
        <v>11.1</v>
      </c>
      <c r="U22" s="39">
        <f t="shared" si="2"/>
        <v>79.2</v>
      </c>
      <c r="V22" s="39">
        <f t="shared" si="3"/>
        <v>88.8</v>
      </c>
      <c r="W22" s="3"/>
    </row>
    <row r="23" spans="1:23" s="4" customFormat="1" ht="18" customHeight="1">
      <c r="A23" s="25">
        <f t="shared" si="5"/>
        <v>32</v>
      </c>
      <c r="B23" s="26" t="s">
        <v>25</v>
      </c>
      <c r="C23" s="25">
        <f>C22+N23</f>
        <v>36</v>
      </c>
      <c r="D23" s="109"/>
      <c r="E23" s="109"/>
      <c r="F23" s="109"/>
      <c r="G23" s="17"/>
      <c r="H23" s="18"/>
      <c r="I23" s="18"/>
      <c r="J23" s="19"/>
      <c r="K23" s="19">
        <v>40</v>
      </c>
      <c r="L23" s="19"/>
      <c r="M23" s="18">
        <f t="shared" si="0"/>
        <v>40</v>
      </c>
      <c r="N23" s="20">
        <v>5</v>
      </c>
      <c r="O23" s="28">
        <f t="shared" si="1"/>
        <v>200</v>
      </c>
      <c r="P23" s="110"/>
      <c r="Q23" s="110"/>
      <c r="R23" s="111"/>
      <c r="S23" s="39">
        <v>8.4</v>
      </c>
      <c r="T23" s="39">
        <f t="shared" si="4"/>
        <v>9.6</v>
      </c>
      <c r="U23" s="39">
        <f t="shared" si="2"/>
        <v>42</v>
      </c>
      <c r="V23" s="39">
        <f t="shared" si="3"/>
        <v>48</v>
      </c>
      <c r="W23" s="3"/>
    </row>
    <row r="24" spans="1:23" s="4" customFormat="1" ht="18" customHeight="1">
      <c r="A24" s="25">
        <f t="shared" si="5"/>
        <v>37</v>
      </c>
      <c r="B24" s="26" t="s">
        <v>25</v>
      </c>
      <c r="C24" s="25">
        <f t="shared" ref="C24" si="6">C23+N24</f>
        <v>37</v>
      </c>
      <c r="D24" s="109"/>
      <c r="E24" s="109"/>
      <c r="F24" s="109"/>
      <c r="G24" s="17">
        <v>35</v>
      </c>
      <c r="H24" s="18">
        <v>19</v>
      </c>
      <c r="I24" s="18">
        <v>6</v>
      </c>
      <c r="J24" s="19">
        <v>6</v>
      </c>
      <c r="K24" s="19"/>
      <c r="L24" s="19"/>
      <c r="M24" s="18">
        <f t="shared" si="0"/>
        <v>66</v>
      </c>
      <c r="N24" s="20">
        <v>1</v>
      </c>
      <c r="O24" s="28">
        <f t="shared" si="1"/>
        <v>66</v>
      </c>
      <c r="P24" s="110"/>
      <c r="Q24" s="110"/>
      <c r="R24" s="111"/>
      <c r="S24" s="39">
        <v>12.1</v>
      </c>
      <c r="T24" s="39">
        <f t="shared" si="4"/>
        <v>13.299999999999999</v>
      </c>
      <c r="U24" s="39">
        <f t="shared" si="2"/>
        <v>12.1</v>
      </c>
      <c r="V24" s="39">
        <f t="shared" si="3"/>
        <v>13.299999999999999</v>
      </c>
      <c r="W24" s="3"/>
    </row>
    <row r="25" spans="1:23" s="23" customFormat="1" ht="21.95" customHeight="1">
      <c r="A25" s="112" t="s">
        <v>2</v>
      </c>
      <c r="B25" s="112"/>
      <c r="C25" s="112"/>
      <c r="D25" s="112"/>
      <c r="E25" s="112"/>
      <c r="F25" s="112"/>
      <c r="G25" s="52">
        <f>O19+G24</f>
        <v>395</v>
      </c>
      <c r="H25" s="53">
        <f>O20+H24</f>
        <v>459</v>
      </c>
      <c r="I25" s="53">
        <f>O21+I24</f>
        <v>456</v>
      </c>
      <c r="J25" s="53">
        <f>O22+J24</f>
        <v>406</v>
      </c>
      <c r="K25" s="53">
        <f>O23</f>
        <v>200</v>
      </c>
      <c r="L25" s="53"/>
      <c r="M25" s="54"/>
      <c r="N25" s="55">
        <f>SUM(N19:N24)</f>
        <v>37</v>
      </c>
      <c r="O25" s="56">
        <f>SUM(O19:O24)</f>
        <v>1916</v>
      </c>
      <c r="P25" s="113">
        <f>(P19*Q19*R19)/1000000*N25</f>
        <v>1.85185</v>
      </c>
      <c r="Q25" s="113"/>
      <c r="R25" s="113"/>
      <c r="S25" s="57"/>
      <c r="T25" s="58"/>
      <c r="U25" s="59">
        <f>SUM(U19:U24)</f>
        <v>351.2</v>
      </c>
      <c r="V25" s="59">
        <f>SUM(V19:V24)</f>
        <v>395.6</v>
      </c>
    </row>
    <row r="26" spans="1:23" ht="15" customHeight="1">
      <c r="A26" s="114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6"/>
      <c r="W26" s="2"/>
    </row>
    <row r="27" spans="1:23" s="6" customFormat="1" ht="15" customHeight="1">
      <c r="A27" s="103" t="s">
        <v>5</v>
      </c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46"/>
      <c r="N27" s="47">
        <f>N25</f>
        <v>37</v>
      </c>
      <c r="O27" s="48">
        <f>O25</f>
        <v>1916</v>
      </c>
      <c r="P27" s="117">
        <f>P25</f>
        <v>1.85185</v>
      </c>
      <c r="Q27" s="117"/>
      <c r="R27" s="117"/>
      <c r="S27" s="49"/>
      <c r="T27" s="49"/>
      <c r="U27" s="50">
        <f>U25</f>
        <v>351.2</v>
      </c>
      <c r="V27" s="50">
        <f>V25</f>
        <v>395.6</v>
      </c>
      <c r="W27" s="5"/>
    </row>
    <row r="28" spans="1:23" ht="15" customHeight="1">
      <c r="A28" s="118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</row>
    <row r="29" spans="1:23" s="7" customFormat="1" ht="30" customHeight="1">
      <c r="A29" s="106" t="s">
        <v>10</v>
      </c>
      <c r="B29" s="106"/>
      <c r="C29" s="106"/>
      <c r="D29" s="103" t="str">
        <f>D17</f>
        <v>COLOR</v>
      </c>
      <c r="E29" s="103"/>
      <c r="F29" s="103"/>
      <c r="G29" s="51" t="str">
        <f t="shared" ref="G29:L29" si="7">G18</f>
        <v>S</v>
      </c>
      <c r="H29" s="51" t="str">
        <f t="shared" si="7"/>
        <v>M</v>
      </c>
      <c r="I29" s="51" t="str">
        <f t="shared" si="7"/>
        <v>L</v>
      </c>
      <c r="J29" s="51" t="str">
        <f t="shared" si="7"/>
        <v>XL</v>
      </c>
      <c r="K29" s="51" t="str">
        <f t="shared" si="7"/>
        <v>XXL</v>
      </c>
      <c r="L29" s="51" t="str">
        <f t="shared" si="7"/>
        <v>3XL</v>
      </c>
      <c r="M29" s="103" t="s">
        <v>2</v>
      </c>
      <c r="N29" s="103"/>
      <c r="O29" s="69"/>
      <c r="P29" s="69"/>
      <c r="S29" s="69"/>
      <c r="T29" s="69"/>
      <c r="U29" s="69"/>
      <c r="V29" s="69"/>
    </row>
    <row r="30" spans="1:23" s="7" customFormat="1" ht="24.95" customHeight="1">
      <c r="A30" s="119" t="s">
        <v>12</v>
      </c>
      <c r="B30" s="119"/>
      <c r="C30" s="119"/>
      <c r="D30" s="120" t="str">
        <f>D19</f>
        <v>Black</v>
      </c>
      <c r="E30" s="121"/>
      <c r="F30" s="121"/>
      <c r="G30" s="64">
        <v>400</v>
      </c>
      <c r="H30" s="64">
        <v>450</v>
      </c>
      <c r="I30" s="64">
        <v>450</v>
      </c>
      <c r="J30" s="64">
        <v>400</v>
      </c>
      <c r="K30" s="64">
        <v>200</v>
      </c>
      <c r="L30" s="64"/>
      <c r="M30" s="122">
        <f>G30+H30+I30+J30+K30+L30</f>
        <v>1900</v>
      </c>
      <c r="N30" s="122"/>
      <c r="O30" s="22"/>
      <c r="P30" s="21"/>
      <c r="S30" s="69"/>
      <c r="T30" s="69"/>
      <c r="U30" s="69"/>
      <c r="V30" s="69"/>
    </row>
    <row r="31" spans="1:23" s="7" customFormat="1" ht="24.95" customHeight="1">
      <c r="A31" s="119" t="s">
        <v>30</v>
      </c>
      <c r="B31" s="119"/>
      <c r="C31" s="119"/>
      <c r="D31" s="121"/>
      <c r="E31" s="121"/>
      <c r="F31" s="121"/>
      <c r="G31" s="64">
        <f t="shared" ref="G31:K31" si="8">G25</f>
        <v>395</v>
      </c>
      <c r="H31" s="64">
        <f t="shared" si="8"/>
        <v>459</v>
      </c>
      <c r="I31" s="64">
        <f t="shared" si="8"/>
        <v>456</v>
      </c>
      <c r="J31" s="64">
        <f t="shared" si="8"/>
        <v>406</v>
      </c>
      <c r="K31" s="64">
        <f t="shared" si="8"/>
        <v>200</v>
      </c>
      <c r="L31" s="64">
        <f>L25</f>
        <v>0</v>
      </c>
      <c r="M31" s="122">
        <f>G31+H31+I31+J31+K31+L31</f>
        <v>1916</v>
      </c>
      <c r="N31" s="122"/>
      <c r="O31" s="22"/>
      <c r="P31" s="21"/>
      <c r="S31" s="69"/>
      <c r="T31" s="69"/>
      <c r="U31" s="69"/>
      <c r="V31" s="69"/>
    </row>
  </sheetData>
  <mergeCells count="40">
    <mergeCell ref="A30:C30"/>
    <mergeCell ref="D30:F31"/>
    <mergeCell ref="M30:N30"/>
    <mergeCell ref="A31:C31"/>
    <mergeCell ref="M31:N31"/>
    <mergeCell ref="A26:V26"/>
    <mergeCell ref="A27:L27"/>
    <mergeCell ref="P27:R27"/>
    <mergeCell ref="A28:V28"/>
    <mergeCell ref="A29:C29"/>
    <mergeCell ref="D29:F29"/>
    <mergeCell ref="M29:N29"/>
    <mergeCell ref="D19:F24"/>
    <mergeCell ref="P19:P24"/>
    <mergeCell ref="Q19:Q24"/>
    <mergeCell ref="R19:R24"/>
    <mergeCell ref="A25:F25"/>
    <mergeCell ref="P25:R25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A9A76-003C-4A77-A4E3-BA2F45C15596}">
  <sheetPr>
    <tabColor rgb="FFFFC000"/>
    <pageSetUpPr fitToPage="1"/>
  </sheetPr>
  <dimension ref="A1:W33"/>
  <sheetViews>
    <sheetView showGridLines="0" view="pageBreakPreview" topLeftCell="A18" zoomScaleNormal="62" zoomScaleSheetLayoutView="100" workbookViewId="0">
      <selection activeCell="S28" sqref="S28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196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191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1530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M33</f>
        <v>1581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51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N29</f>
        <v>31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187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65" t="s">
        <v>22</v>
      </c>
      <c r="J18" s="65" t="s">
        <v>93</v>
      </c>
      <c r="K18" s="65" t="s">
        <v>94</v>
      </c>
      <c r="L18" s="65" t="s">
        <v>95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7</v>
      </c>
      <c r="D19" s="109" t="s">
        <v>197</v>
      </c>
      <c r="E19" s="109"/>
      <c r="F19" s="109"/>
      <c r="G19" s="17">
        <v>55</v>
      </c>
      <c r="H19" s="18"/>
      <c r="I19" s="18"/>
      <c r="J19" s="19"/>
      <c r="K19" s="19"/>
      <c r="L19" s="19"/>
      <c r="M19" s="18">
        <f t="shared" ref="M19:M26" si="0">SUM(G19:L19)</f>
        <v>55</v>
      </c>
      <c r="N19" s="20">
        <v>7</v>
      </c>
      <c r="O19" s="28">
        <f t="shared" ref="O19:O26" si="1">M19*N19</f>
        <v>385</v>
      </c>
      <c r="P19" s="110">
        <v>55</v>
      </c>
      <c r="Q19" s="110">
        <v>35</v>
      </c>
      <c r="R19" s="111">
        <v>26</v>
      </c>
      <c r="S19" s="39">
        <v>9.8000000000000007</v>
      </c>
      <c r="T19" s="39">
        <f>S19+1.2</f>
        <v>11</v>
      </c>
      <c r="U19" s="39">
        <f t="shared" ref="U19:U26" si="2">S19*N19</f>
        <v>68.600000000000009</v>
      </c>
      <c r="V19" s="39">
        <f t="shared" ref="V19:V26" si="3">T19*N19</f>
        <v>77</v>
      </c>
      <c r="W19" s="3"/>
    </row>
    <row r="20" spans="1:23" s="4" customFormat="1" ht="18" customHeight="1">
      <c r="A20" s="25">
        <f>C19+1</f>
        <v>8</v>
      </c>
      <c r="B20" s="26" t="s">
        <v>25</v>
      </c>
      <c r="C20" s="25">
        <f>C19+N20</f>
        <v>14</v>
      </c>
      <c r="D20" s="109"/>
      <c r="E20" s="109"/>
      <c r="F20" s="109"/>
      <c r="G20" s="17"/>
      <c r="H20" s="18">
        <v>55</v>
      </c>
      <c r="I20" s="18"/>
      <c r="J20" s="19"/>
      <c r="K20" s="19"/>
      <c r="L20" s="19"/>
      <c r="M20" s="18">
        <f t="shared" si="0"/>
        <v>55</v>
      </c>
      <c r="N20" s="20">
        <v>7</v>
      </c>
      <c r="O20" s="28">
        <f t="shared" si="1"/>
        <v>385</v>
      </c>
      <c r="P20" s="110"/>
      <c r="Q20" s="110"/>
      <c r="R20" s="111"/>
      <c r="S20" s="39">
        <v>11.1</v>
      </c>
      <c r="T20" s="39">
        <f t="shared" ref="T20:T26" si="4">S20+1.2</f>
        <v>12.299999999999999</v>
      </c>
      <c r="U20" s="39">
        <f t="shared" si="2"/>
        <v>77.7</v>
      </c>
      <c r="V20" s="39">
        <f t="shared" si="3"/>
        <v>86.1</v>
      </c>
      <c r="W20" s="3"/>
    </row>
    <row r="21" spans="1:23" s="4" customFormat="1" ht="18" customHeight="1">
      <c r="A21" s="25">
        <f t="shared" ref="A21:A26" si="5">C20+1</f>
        <v>15</v>
      </c>
      <c r="B21" s="26" t="s">
        <v>25</v>
      </c>
      <c r="C21" s="25">
        <f>C20+N21</f>
        <v>21</v>
      </c>
      <c r="D21" s="109"/>
      <c r="E21" s="109"/>
      <c r="F21" s="109"/>
      <c r="G21" s="17"/>
      <c r="H21" s="18"/>
      <c r="I21" s="18">
        <v>50</v>
      </c>
      <c r="J21" s="19"/>
      <c r="K21" s="19"/>
      <c r="L21" s="19"/>
      <c r="M21" s="18">
        <f t="shared" si="0"/>
        <v>50</v>
      </c>
      <c r="N21" s="20">
        <v>7</v>
      </c>
      <c r="O21" s="28">
        <f t="shared" si="1"/>
        <v>350</v>
      </c>
      <c r="P21" s="110"/>
      <c r="Q21" s="110"/>
      <c r="R21" s="111"/>
      <c r="S21" s="39">
        <v>10.9</v>
      </c>
      <c r="T21" s="39">
        <f t="shared" si="4"/>
        <v>12.1</v>
      </c>
      <c r="U21" s="39">
        <f t="shared" si="2"/>
        <v>76.3</v>
      </c>
      <c r="V21" s="39">
        <f t="shared" si="3"/>
        <v>84.7</v>
      </c>
      <c r="W21" s="3"/>
    </row>
    <row r="22" spans="1:23" s="4" customFormat="1" ht="18" customHeight="1">
      <c r="A22" s="25">
        <f t="shared" si="5"/>
        <v>22</v>
      </c>
      <c r="B22" s="26" t="s">
        <v>25</v>
      </c>
      <c r="C22" s="25">
        <f>C21+N22</f>
        <v>26</v>
      </c>
      <c r="D22" s="109"/>
      <c r="E22" s="109"/>
      <c r="F22" s="109"/>
      <c r="G22" s="17"/>
      <c r="H22" s="18"/>
      <c r="I22" s="18"/>
      <c r="J22" s="19">
        <v>50</v>
      </c>
      <c r="K22" s="19"/>
      <c r="L22" s="19"/>
      <c r="M22" s="18">
        <f t="shared" si="0"/>
        <v>50</v>
      </c>
      <c r="N22" s="20">
        <v>5</v>
      </c>
      <c r="O22" s="28">
        <f t="shared" si="1"/>
        <v>250</v>
      </c>
      <c r="P22" s="110"/>
      <c r="Q22" s="110"/>
      <c r="R22" s="111"/>
      <c r="S22" s="39">
        <v>11.4</v>
      </c>
      <c r="T22" s="39">
        <f t="shared" si="4"/>
        <v>12.6</v>
      </c>
      <c r="U22" s="39">
        <f t="shared" si="2"/>
        <v>57</v>
      </c>
      <c r="V22" s="39">
        <f t="shared" si="3"/>
        <v>63</v>
      </c>
      <c r="W22" s="3"/>
    </row>
    <row r="23" spans="1:23" s="4" customFormat="1" ht="18" customHeight="1">
      <c r="A23" s="25">
        <f t="shared" si="5"/>
        <v>27</v>
      </c>
      <c r="B23" s="26" t="s">
        <v>25</v>
      </c>
      <c r="C23" s="25">
        <f>C22+N23</f>
        <v>28</v>
      </c>
      <c r="D23" s="109"/>
      <c r="E23" s="109"/>
      <c r="F23" s="109"/>
      <c r="G23" s="17"/>
      <c r="H23" s="18"/>
      <c r="I23" s="18"/>
      <c r="J23" s="19"/>
      <c r="K23" s="19">
        <v>45</v>
      </c>
      <c r="L23" s="19"/>
      <c r="M23" s="18">
        <f t="shared" si="0"/>
        <v>45</v>
      </c>
      <c r="N23" s="20">
        <v>2</v>
      </c>
      <c r="O23" s="28">
        <f t="shared" si="1"/>
        <v>90</v>
      </c>
      <c r="P23" s="110"/>
      <c r="Q23" s="110"/>
      <c r="R23" s="111"/>
      <c r="S23" s="39">
        <v>11.1</v>
      </c>
      <c r="T23" s="39">
        <f t="shared" si="4"/>
        <v>12.299999999999999</v>
      </c>
      <c r="U23" s="39">
        <f t="shared" si="2"/>
        <v>22.2</v>
      </c>
      <c r="V23" s="39">
        <f t="shared" si="3"/>
        <v>24.599999999999998</v>
      </c>
      <c r="W23" s="3"/>
    </row>
    <row r="24" spans="1:23" s="4" customFormat="1" ht="18" customHeight="1">
      <c r="A24" s="25">
        <f t="shared" si="5"/>
        <v>29</v>
      </c>
      <c r="B24" s="26" t="s">
        <v>25</v>
      </c>
      <c r="C24" s="25">
        <f t="shared" ref="C24:C26" si="6">C23+N24</f>
        <v>29</v>
      </c>
      <c r="D24" s="109"/>
      <c r="E24" s="109"/>
      <c r="F24" s="109"/>
      <c r="G24" s="17">
        <v>40</v>
      </c>
      <c r="H24" s="18"/>
      <c r="I24" s="18"/>
      <c r="J24" s="19"/>
      <c r="K24" s="19"/>
      <c r="L24" s="19"/>
      <c r="M24" s="18">
        <f t="shared" si="0"/>
        <v>40</v>
      </c>
      <c r="N24" s="20">
        <v>1</v>
      </c>
      <c r="O24" s="28">
        <f t="shared" si="1"/>
        <v>40</v>
      </c>
      <c r="P24" s="110"/>
      <c r="Q24" s="110"/>
      <c r="R24" s="111"/>
      <c r="S24" s="39">
        <v>9.9</v>
      </c>
      <c r="T24" s="39">
        <f t="shared" si="4"/>
        <v>11.1</v>
      </c>
      <c r="U24" s="39">
        <f t="shared" si="2"/>
        <v>9.9</v>
      </c>
      <c r="V24" s="39">
        <f t="shared" si="3"/>
        <v>11.1</v>
      </c>
      <c r="W24" s="3"/>
    </row>
    <row r="25" spans="1:23" s="4" customFormat="1" ht="18" customHeight="1">
      <c r="A25" s="25">
        <f t="shared" si="5"/>
        <v>30</v>
      </c>
      <c r="B25" s="26" t="s">
        <v>25</v>
      </c>
      <c r="C25" s="25">
        <f t="shared" si="6"/>
        <v>30</v>
      </c>
      <c r="D25" s="109"/>
      <c r="E25" s="109"/>
      <c r="F25" s="109"/>
      <c r="G25" s="17"/>
      <c r="H25" s="18">
        <v>13</v>
      </c>
      <c r="I25" s="18">
        <v>33</v>
      </c>
      <c r="J25" s="19"/>
      <c r="K25" s="19"/>
      <c r="L25" s="19"/>
      <c r="M25" s="18">
        <f t="shared" si="0"/>
        <v>46</v>
      </c>
      <c r="N25" s="20">
        <v>1</v>
      </c>
      <c r="O25" s="28">
        <f t="shared" si="1"/>
        <v>46</v>
      </c>
      <c r="P25" s="110"/>
      <c r="Q25" s="110"/>
      <c r="R25" s="111"/>
      <c r="S25" s="39">
        <v>9.9</v>
      </c>
      <c r="T25" s="39">
        <f t="shared" si="4"/>
        <v>11.1</v>
      </c>
      <c r="U25" s="39">
        <f t="shared" si="2"/>
        <v>9.9</v>
      </c>
      <c r="V25" s="39">
        <f t="shared" si="3"/>
        <v>11.1</v>
      </c>
      <c r="W25" s="3"/>
    </row>
    <row r="26" spans="1:23" s="4" customFormat="1" ht="18" customHeight="1">
      <c r="A26" s="25">
        <f t="shared" si="5"/>
        <v>31</v>
      </c>
      <c r="B26" s="26" t="s">
        <v>25</v>
      </c>
      <c r="C26" s="25">
        <f t="shared" si="6"/>
        <v>31</v>
      </c>
      <c r="D26" s="109"/>
      <c r="E26" s="109"/>
      <c r="F26" s="109"/>
      <c r="G26" s="17"/>
      <c r="H26" s="18"/>
      <c r="I26" s="18"/>
      <c r="J26" s="19"/>
      <c r="K26" s="19">
        <v>35</v>
      </c>
      <c r="L26" s="19"/>
      <c r="M26" s="18">
        <f t="shared" si="0"/>
        <v>35</v>
      </c>
      <c r="N26" s="20">
        <v>1</v>
      </c>
      <c r="O26" s="28">
        <f t="shared" si="1"/>
        <v>35</v>
      </c>
      <c r="P26" s="110"/>
      <c r="Q26" s="110"/>
      <c r="R26" s="111"/>
      <c r="S26" s="39">
        <v>8.6</v>
      </c>
      <c r="T26" s="39">
        <f t="shared" si="4"/>
        <v>9.7999999999999989</v>
      </c>
      <c r="U26" s="39">
        <f t="shared" si="2"/>
        <v>8.6</v>
      </c>
      <c r="V26" s="39">
        <f t="shared" si="3"/>
        <v>9.7999999999999989</v>
      </c>
      <c r="W26" s="3"/>
    </row>
    <row r="27" spans="1:23" s="23" customFormat="1" ht="21.95" customHeight="1">
      <c r="A27" s="112" t="s">
        <v>2</v>
      </c>
      <c r="B27" s="112"/>
      <c r="C27" s="112"/>
      <c r="D27" s="112"/>
      <c r="E27" s="112"/>
      <c r="F27" s="112"/>
      <c r="G27" s="52">
        <f>O19+G24</f>
        <v>425</v>
      </c>
      <c r="H27" s="53">
        <f>O20+H25</f>
        <v>398</v>
      </c>
      <c r="I27" s="53">
        <f>O21+I25</f>
        <v>383</v>
      </c>
      <c r="J27" s="53">
        <f>O22+J26</f>
        <v>250</v>
      </c>
      <c r="K27" s="53">
        <f>O23+K26</f>
        <v>125</v>
      </c>
      <c r="L27" s="53"/>
      <c r="M27" s="54"/>
      <c r="N27" s="55">
        <f>SUM(N19:N26)</f>
        <v>31</v>
      </c>
      <c r="O27" s="56">
        <f>SUM(O19:O26)</f>
        <v>1581</v>
      </c>
      <c r="P27" s="113">
        <f>(P19*Q19*R19)/1000000*N27</f>
        <v>1.55155</v>
      </c>
      <c r="Q27" s="113"/>
      <c r="R27" s="113"/>
      <c r="S27" s="57"/>
      <c r="T27" s="58"/>
      <c r="U27" s="59">
        <f>SUM(U19:U26)</f>
        <v>330.2</v>
      </c>
      <c r="V27" s="59">
        <f>SUM(V19:V26)</f>
        <v>367.40000000000009</v>
      </c>
    </row>
    <row r="28" spans="1:23" ht="15" customHeight="1">
      <c r="A28" s="114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6"/>
      <c r="W28" s="2"/>
    </row>
    <row r="29" spans="1:23" s="6" customFormat="1" ht="15" customHeight="1">
      <c r="A29" s="103" t="s">
        <v>5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46"/>
      <c r="N29" s="47">
        <f>N27</f>
        <v>31</v>
      </c>
      <c r="O29" s="48">
        <f>O27</f>
        <v>1581</v>
      </c>
      <c r="P29" s="117">
        <f>P27</f>
        <v>1.55155</v>
      </c>
      <c r="Q29" s="117"/>
      <c r="R29" s="117"/>
      <c r="S29" s="49"/>
      <c r="T29" s="49"/>
      <c r="U29" s="50">
        <f>U27</f>
        <v>330.2</v>
      </c>
      <c r="V29" s="50">
        <f>V27</f>
        <v>367.40000000000009</v>
      </c>
      <c r="W29" s="5"/>
    </row>
    <row r="30" spans="1:23" ht="15" customHeight="1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</row>
    <row r="31" spans="1:23" s="7" customFormat="1" ht="30" customHeight="1">
      <c r="A31" s="106" t="s">
        <v>10</v>
      </c>
      <c r="B31" s="106"/>
      <c r="C31" s="106"/>
      <c r="D31" s="103" t="str">
        <f>D17</f>
        <v>COLOR</v>
      </c>
      <c r="E31" s="103"/>
      <c r="F31" s="103"/>
      <c r="G31" s="51" t="str">
        <f t="shared" ref="G31:L31" si="7">G18</f>
        <v>S</v>
      </c>
      <c r="H31" s="51" t="str">
        <f t="shared" si="7"/>
        <v>M</v>
      </c>
      <c r="I31" s="51" t="str">
        <f t="shared" si="7"/>
        <v>L</v>
      </c>
      <c r="J31" s="51" t="str">
        <f t="shared" si="7"/>
        <v>XL</v>
      </c>
      <c r="K31" s="51" t="str">
        <f t="shared" si="7"/>
        <v>XXL</v>
      </c>
      <c r="L31" s="51" t="str">
        <f t="shared" si="7"/>
        <v>3XL</v>
      </c>
      <c r="M31" s="103" t="s">
        <v>2</v>
      </c>
      <c r="N31" s="103"/>
      <c r="O31" s="69"/>
      <c r="P31" s="69"/>
      <c r="S31" s="69"/>
      <c r="T31" s="69"/>
      <c r="U31" s="69"/>
      <c r="V31" s="69"/>
    </row>
    <row r="32" spans="1:23" s="7" customFormat="1" ht="24.95" customHeight="1">
      <c r="A32" s="119" t="s">
        <v>12</v>
      </c>
      <c r="B32" s="119"/>
      <c r="C32" s="119"/>
      <c r="D32" s="120" t="str">
        <f>D19</f>
        <v>Teal Marl</v>
      </c>
      <c r="E32" s="121"/>
      <c r="F32" s="121"/>
      <c r="G32" s="64">
        <v>400</v>
      </c>
      <c r="H32" s="64">
        <v>400</v>
      </c>
      <c r="I32" s="64">
        <v>370</v>
      </c>
      <c r="J32" s="64">
        <v>240</v>
      </c>
      <c r="K32" s="64">
        <v>120</v>
      </c>
      <c r="L32" s="64"/>
      <c r="M32" s="122">
        <f>G32+H32+I32+J32+K32+L32</f>
        <v>1530</v>
      </c>
      <c r="N32" s="122"/>
      <c r="O32" s="22"/>
      <c r="P32" s="21"/>
      <c r="S32" s="69"/>
      <c r="T32" s="69"/>
      <c r="U32" s="69"/>
      <c r="V32" s="69"/>
    </row>
    <row r="33" spans="1:22" s="7" customFormat="1" ht="24.95" customHeight="1">
      <c r="A33" s="119" t="s">
        <v>30</v>
      </c>
      <c r="B33" s="119"/>
      <c r="C33" s="119"/>
      <c r="D33" s="121"/>
      <c r="E33" s="121"/>
      <c r="F33" s="121"/>
      <c r="G33" s="64">
        <f t="shared" ref="G33:K33" si="8">G27</f>
        <v>425</v>
      </c>
      <c r="H33" s="64">
        <f t="shared" si="8"/>
        <v>398</v>
      </c>
      <c r="I33" s="64">
        <f t="shared" si="8"/>
        <v>383</v>
      </c>
      <c r="J33" s="64">
        <f t="shared" si="8"/>
        <v>250</v>
      </c>
      <c r="K33" s="64">
        <f t="shared" si="8"/>
        <v>125</v>
      </c>
      <c r="L33" s="64">
        <f>L27</f>
        <v>0</v>
      </c>
      <c r="M33" s="122">
        <f>G33+H33+I33+J33+K33+L33</f>
        <v>1581</v>
      </c>
      <c r="N33" s="122"/>
      <c r="O33" s="22"/>
      <c r="P33" s="21"/>
      <c r="S33" s="69"/>
      <c r="T33" s="69"/>
      <c r="U33" s="69"/>
      <c r="V33" s="69"/>
    </row>
  </sheetData>
  <mergeCells count="40">
    <mergeCell ref="A32:C32"/>
    <mergeCell ref="D32:F33"/>
    <mergeCell ref="M32:N32"/>
    <mergeCell ref="A33:C33"/>
    <mergeCell ref="M33:N33"/>
    <mergeCell ref="A28:V28"/>
    <mergeCell ref="A29:L29"/>
    <mergeCell ref="P29:R29"/>
    <mergeCell ref="A30:V30"/>
    <mergeCell ref="A31:C31"/>
    <mergeCell ref="D31:F31"/>
    <mergeCell ref="M31:N31"/>
    <mergeCell ref="D19:F26"/>
    <mergeCell ref="P19:P26"/>
    <mergeCell ref="Q19:Q26"/>
    <mergeCell ref="R19:R26"/>
    <mergeCell ref="A27:F27"/>
    <mergeCell ref="P27:R27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8078-F066-484D-892C-49CBAAD836FF}">
  <sheetPr>
    <tabColor rgb="FFFF5050"/>
    <pageSetUpPr fitToPage="1"/>
  </sheetPr>
  <dimension ref="A1:W31"/>
  <sheetViews>
    <sheetView showGridLines="0" view="pageBreakPreview" topLeftCell="A17" zoomScaleNormal="62" zoomScaleSheetLayoutView="100" workbookViewId="0">
      <selection activeCell="S27" sqref="S27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68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198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199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1720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M31</f>
        <v>1761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41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N27</f>
        <v>34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89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65" t="s">
        <v>22</v>
      </c>
      <c r="J18" s="65" t="s">
        <v>93</v>
      </c>
      <c r="K18" s="65" t="s">
        <v>94</v>
      </c>
      <c r="L18" s="65" t="s">
        <v>95</v>
      </c>
      <c r="M18" s="106"/>
      <c r="N18" s="106"/>
      <c r="O18" s="106"/>
      <c r="P18" s="67" t="s">
        <v>22</v>
      </c>
      <c r="Q18" s="67" t="s">
        <v>23</v>
      </c>
      <c r="R18" s="67" t="s">
        <v>24</v>
      </c>
      <c r="S18" s="66" t="s">
        <v>6</v>
      </c>
      <c r="T18" s="66" t="s">
        <v>7</v>
      </c>
      <c r="U18" s="66" t="s">
        <v>8</v>
      </c>
      <c r="V18" s="66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5</v>
      </c>
      <c r="D19" s="109" t="s">
        <v>90</v>
      </c>
      <c r="E19" s="109"/>
      <c r="F19" s="109"/>
      <c r="G19" s="17">
        <v>60</v>
      </c>
      <c r="H19" s="18"/>
      <c r="I19" s="18"/>
      <c r="J19" s="19"/>
      <c r="K19" s="19"/>
      <c r="L19" s="19"/>
      <c r="M19" s="18">
        <f t="shared" ref="M19:M24" si="0">SUM(G19:L19)</f>
        <v>60</v>
      </c>
      <c r="N19" s="20">
        <v>5</v>
      </c>
      <c r="O19" s="28">
        <f t="shared" ref="O19:O24" si="1">M19*N19</f>
        <v>300</v>
      </c>
      <c r="P19" s="110">
        <v>55</v>
      </c>
      <c r="Q19" s="110">
        <v>35</v>
      </c>
      <c r="R19" s="111">
        <v>26</v>
      </c>
      <c r="S19" s="39">
        <v>9.6</v>
      </c>
      <c r="T19" s="39">
        <f>S19+1.2</f>
        <v>10.799999999999999</v>
      </c>
      <c r="U19" s="39">
        <f t="shared" ref="U19:U24" si="2">S19*N19</f>
        <v>48</v>
      </c>
      <c r="V19" s="39">
        <f t="shared" ref="V19:V24" si="3">T19*N19</f>
        <v>53.999999999999993</v>
      </c>
      <c r="W19" s="3"/>
    </row>
    <row r="20" spans="1:23" s="4" customFormat="1" ht="18" customHeight="1">
      <c r="A20" s="25">
        <f>C19+1</f>
        <v>6</v>
      </c>
      <c r="B20" s="26" t="s">
        <v>25</v>
      </c>
      <c r="C20" s="25">
        <f>C19+N20</f>
        <v>11</v>
      </c>
      <c r="D20" s="109"/>
      <c r="E20" s="109"/>
      <c r="F20" s="109"/>
      <c r="G20" s="17"/>
      <c r="H20" s="18">
        <v>60</v>
      </c>
      <c r="I20" s="18"/>
      <c r="J20" s="19"/>
      <c r="K20" s="19"/>
      <c r="L20" s="19"/>
      <c r="M20" s="18">
        <f t="shared" si="0"/>
        <v>60</v>
      </c>
      <c r="N20" s="20">
        <v>6</v>
      </c>
      <c r="O20" s="28">
        <f t="shared" si="1"/>
        <v>360</v>
      </c>
      <c r="P20" s="110"/>
      <c r="Q20" s="110"/>
      <c r="R20" s="111"/>
      <c r="S20" s="39">
        <v>10.4</v>
      </c>
      <c r="T20" s="39">
        <f t="shared" ref="T20:T24" si="4">S20+1.2</f>
        <v>11.6</v>
      </c>
      <c r="U20" s="39">
        <f t="shared" si="2"/>
        <v>62.400000000000006</v>
      </c>
      <c r="V20" s="39">
        <f t="shared" si="3"/>
        <v>69.599999999999994</v>
      </c>
      <c r="W20" s="3"/>
    </row>
    <row r="21" spans="1:23" s="4" customFormat="1" ht="18" customHeight="1">
      <c r="A21" s="25">
        <f t="shared" ref="A21:A24" si="5">C20+1</f>
        <v>12</v>
      </c>
      <c r="B21" s="26" t="s">
        <v>25</v>
      </c>
      <c r="C21" s="25">
        <f>C20+N21</f>
        <v>19</v>
      </c>
      <c r="D21" s="109"/>
      <c r="E21" s="109"/>
      <c r="F21" s="109"/>
      <c r="G21" s="17"/>
      <c r="H21" s="18"/>
      <c r="I21" s="18">
        <v>50</v>
      </c>
      <c r="J21" s="19"/>
      <c r="K21" s="19"/>
      <c r="L21" s="19"/>
      <c r="M21" s="18">
        <f t="shared" si="0"/>
        <v>50</v>
      </c>
      <c r="N21" s="20">
        <v>8</v>
      </c>
      <c r="O21" s="28">
        <f t="shared" si="1"/>
        <v>400</v>
      </c>
      <c r="P21" s="110"/>
      <c r="Q21" s="110"/>
      <c r="R21" s="111"/>
      <c r="S21" s="39">
        <v>9.1</v>
      </c>
      <c r="T21" s="39">
        <f t="shared" si="4"/>
        <v>10.299999999999999</v>
      </c>
      <c r="U21" s="39">
        <f t="shared" si="2"/>
        <v>72.8</v>
      </c>
      <c r="V21" s="39">
        <f t="shared" si="3"/>
        <v>82.399999999999991</v>
      </c>
      <c r="W21" s="3"/>
    </row>
    <row r="22" spans="1:23" s="4" customFormat="1" ht="18" customHeight="1">
      <c r="A22" s="25">
        <f t="shared" si="5"/>
        <v>20</v>
      </c>
      <c r="B22" s="26" t="s">
        <v>25</v>
      </c>
      <c r="C22" s="25">
        <f>C21+N22</f>
        <v>27</v>
      </c>
      <c r="D22" s="109"/>
      <c r="E22" s="109"/>
      <c r="F22" s="109"/>
      <c r="G22" s="17"/>
      <c r="H22" s="18"/>
      <c r="I22" s="18"/>
      <c r="J22" s="19">
        <v>50</v>
      </c>
      <c r="K22" s="19"/>
      <c r="L22" s="19"/>
      <c r="M22" s="18">
        <f t="shared" si="0"/>
        <v>50</v>
      </c>
      <c r="N22" s="20">
        <v>8</v>
      </c>
      <c r="O22" s="28">
        <f t="shared" si="1"/>
        <v>400</v>
      </c>
      <c r="P22" s="110"/>
      <c r="Q22" s="110"/>
      <c r="R22" s="111"/>
      <c r="S22" s="39">
        <v>9.9</v>
      </c>
      <c r="T22" s="39">
        <f t="shared" si="4"/>
        <v>11.1</v>
      </c>
      <c r="U22" s="39">
        <f t="shared" si="2"/>
        <v>79.2</v>
      </c>
      <c r="V22" s="39">
        <f t="shared" si="3"/>
        <v>88.8</v>
      </c>
      <c r="W22" s="3"/>
    </row>
    <row r="23" spans="1:23" s="4" customFormat="1" ht="18" customHeight="1">
      <c r="A23" s="25">
        <f t="shared" si="5"/>
        <v>28</v>
      </c>
      <c r="B23" s="26" t="s">
        <v>25</v>
      </c>
      <c r="C23" s="25">
        <f>C22+N23</f>
        <v>33</v>
      </c>
      <c r="D23" s="109"/>
      <c r="E23" s="109"/>
      <c r="F23" s="109"/>
      <c r="G23" s="17"/>
      <c r="H23" s="18"/>
      <c r="I23" s="18"/>
      <c r="J23" s="19"/>
      <c r="K23" s="19">
        <v>40</v>
      </c>
      <c r="L23" s="19"/>
      <c r="M23" s="18">
        <f t="shared" si="0"/>
        <v>40</v>
      </c>
      <c r="N23" s="20">
        <v>6</v>
      </c>
      <c r="O23" s="28">
        <f t="shared" si="1"/>
        <v>240</v>
      </c>
      <c r="P23" s="110"/>
      <c r="Q23" s="110"/>
      <c r="R23" s="111"/>
      <c r="S23" s="39">
        <v>8.4</v>
      </c>
      <c r="T23" s="39">
        <f t="shared" si="4"/>
        <v>9.6</v>
      </c>
      <c r="U23" s="39">
        <f t="shared" si="2"/>
        <v>50.400000000000006</v>
      </c>
      <c r="V23" s="39">
        <f t="shared" si="3"/>
        <v>57.599999999999994</v>
      </c>
      <c r="W23" s="3"/>
    </row>
    <row r="24" spans="1:23" s="4" customFormat="1" ht="18" customHeight="1">
      <c r="A24" s="25">
        <f t="shared" si="5"/>
        <v>34</v>
      </c>
      <c r="B24" s="26" t="s">
        <v>25</v>
      </c>
      <c r="C24" s="25">
        <f t="shared" ref="C24" si="6">C23+N24</f>
        <v>34</v>
      </c>
      <c r="D24" s="109"/>
      <c r="E24" s="109"/>
      <c r="F24" s="109"/>
      <c r="G24" s="17">
        <v>6</v>
      </c>
      <c r="H24" s="18">
        <v>21</v>
      </c>
      <c r="I24" s="18">
        <v>4</v>
      </c>
      <c r="J24" s="19">
        <v>13</v>
      </c>
      <c r="K24" s="19">
        <v>17</v>
      </c>
      <c r="L24" s="19"/>
      <c r="M24" s="18">
        <f t="shared" si="0"/>
        <v>61</v>
      </c>
      <c r="N24" s="20">
        <v>1</v>
      </c>
      <c r="O24" s="28">
        <f t="shared" si="1"/>
        <v>61</v>
      </c>
      <c r="P24" s="110"/>
      <c r="Q24" s="110"/>
      <c r="R24" s="111"/>
      <c r="S24" s="39">
        <v>11.9</v>
      </c>
      <c r="T24" s="39">
        <f t="shared" si="4"/>
        <v>13.1</v>
      </c>
      <c r="U24" s="39">
        <f t="shared" si="2"/>
        <v>11.9</v>
      </c>
      <c r="V24" s="39">
        <f t="shared" si="3"/>
        <v>13.1</v>
      </c>
      <c r="W24" s="3"/>
    </row>
    <row r="25" spans="1:23" s="23" customFormat="1" ht="21.95" customHeight="1">
      <c r="A25" s="112" t="s">
        <v>2</v>
      </c>
      <c r="B25" s="112"/>
      <c r="C25" s="112"/>
      <c r="D25" s="112"/>
      <c r="E25" s="112"/>
      <c r="F25" s="112"/>
      <c r="G25" s="52">
        <f>O19+G24</f>
        <v>306</v>
      </c>
      <c r="H25" s="53">
        <f>O20+H24</f>
        <v>381</v>
      </c>
      <c r="I25" s="53">
        <f>O21+I24</f>
        <v>404</v>
      </c>
      <c r="J25" s="53">
        <f>O22+J24</f>
        <v>413</v>
      </c>
      <c r="K25" s="53">
        <f>O23+K24</f>
        <v>257</v>
      </c>
      <c r="L25" s="53"/>
      <c r="M25" s="54"/>
      <c r="N25" s="55">
        <f>SUM(N19:N24)</f>
        <v>34</v>
      </c>
      <c r="O25" s="56">
        <f>SUM(O19:O24)</f>
        <v>1761</v>
      </c>
      <c r="P25" s="113">
        <f>(P19*Q19*R19)/1000000*N25</f>
        <v>1.7017</v>
      </c>
      <c r="Q25" s="113"/>
      <c r="R25" s="113"/>
      <c r="S25" s="57"/>
      <c r="T25" s="58"/>
      <c r="U25" s="59">
        <f>SUM(U19:U24)</f>
        <v>324.69999999999993</v>
      </c>
      <c r="V25" s="59">
        <f>SUM(V19:V24)</f>
        <v>365.5</v>
      </c>
    </row>
    <row r="26" spans="1:23" ht="15" customHeight="1">
      <c r="A26" s="114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6"/>
      <c r="W26" s="2"/>
    </row>
    <row r="27" spans="1:23" s="6" customFormat="1" ht="15" customHeight="1">
      <c r="A27" s="103" t="s">
        <v>5</v>
      </c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46"/>
      <c r="N27" s="47">
        <f>N25</f>
        <v>34</v>
      </c>
      <c r="O27" s="48">
        <f>O25</f>
        <v>1761</v>
      </c>
      <c r="P27" s="117">
        <f>P25</f>
        <v>1.7017</v>
      </c>
      <c r="Q27" s="117"/>
      <c r="R27" s="117"/>
      <c r="S27" s="49"/>
      <c r="T27" s="49"/>
      <c r="U27" s="50">
        <f>U25</f>
        <v>324.69999999999993</v>
      </c>
      <c r="V27" s="50">
        <f>V25</f>
        <v>365.5</v>
      </c>
      <c r="W27" s="5"/>
    </row>
    <row r="28" spans="1:23" ht="15" customHeight="1">
      <c r="A28" s="118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</row>
    <row r="29" spans="1:23" s="7" customFormat="1" ht="30" customHeight="1">
      <c r="A29" s="106" t="s">
        <v>10</v>
      </c>
      <c r="B29" s="106"/>
      <c r="C29" s="106"/>
      <c r="D29" s="103" t="str">
        <f>D17</f>
        <v>COLOR</v>
      </c>
      <c r="E29" s="103"/>
      <c r="F29" s="103"/>
      <c r="G29" s="51" t="str">
        <f t="shared" ref="G29:L29" si="7">G18</f>
        <v>S</v>
      </c>
      <c r="H29" s="51" t="str">
        <f t="shared" si="7"/>
        <v>M</v>
      </c>
      <c r="I29" s="51" t="str">
        <f t="shared" si="7"/>
        <v>L</v>
      </c>
      <c r="J29" s="51" t="str">
        <f t="shared" si="7"/>
        <v>XL</v>
      </c>
      <c r="K29" s="51" t="str">
        <f t="shared" si="7"/>
        <v>XXL</v>
      </c>
      <c r="L29" s="51" t="str">
        <f t="shared" si="7"/>
        <v>3XL</v>
      </c>
      <c r="M29" s="103" t="s">
        <v>2</v>
      </c>
      <c r="N29" s="103"/>
      <c r="O29" s="69"/>
      <c r="P29" s="69"/>
      <c r="S29" s="69"/>
      <c r="T29" s="69"/>
      <c r="U29" s="69"/>
      <c r="V29" s="69"/>
    </row>
    <row r="30" spans="1:23" s="7" customFormat="1" ht="24.95" customHeight="1">
      <c r="A30" s="119" t="s">
        <v>12</v>
      </c>
      <c r="B30" s="119"/>
      <c r="C30" s="119"/>
      <c r="D30" s="120" t="str">
        <f>D19</f>
        <v>Teal</v>
      </c>
      <c r="E30" s="121"/>
      <c r="F30" s="121"/>
      <c r="G30" s="64">
        <v>300</v>
      </c>
      <c r="H30" s="64">
        <v>370</v>
      </c>
      <c r="I30" s="64">
        <v>400</v>
      </c>
      <c r="J30" s="64">
        <v>400</v>
      </c>
      <c r="K30" s="64">
        <v>250</v>
      </c>
      <c r="L30" s="64"/>
      <c r="M30" s="122">
        <f>G30+H30+I30+J30+K30+L30</f>
        <v>1720</v>
      </c>
      <c r="N30" s="122"/>
      <c r="O30" s="22"/>
      <c r="P30" s="21"/>
      <c r="S30" s="69"/>
      <c r="T30" s="69"/>
      <c r="U30" s="69"/>
      <c r="V30" s="69"/>
    </row>
    <row r="31" spans="1:23" s="7" customFormat="1" ht="24.95" customHeight="1">
      <c r="A31" s="119" t="s">
        <v>30</v>
      </c>
      <c r="B31" s="119"/>
      <c r="C31" s="119"/>
      <c r="D31" s="121"/>
      <c r="E31" s="121"/>
      <c r="F31" s="121"/>
      <c r="G31" s="64">
        <f t="shared" ref="G31:K31" si="8">G25</f>
        <v>306</v>
      </c>
      <c r="H31" s="64">
        <f t="shared" si="8"/>
        <v>381</v>
      </c>
      <c r="I31" s="64">
        <f t="shared" si="8"/>
        <v>404</v>
      </c>
      <c r="J31" s="64">
        <f t="shared" si="8"/>
        <v>413</v>
      </c>
      <c r="K31" s="64">
        <f t="shared" si="8"/>
        <v>257</v>
      </c>
      <c r="L31" s="64">
        <f>L25</f>
        <v>0</v>
      </c>
      <c r="M31" s="122">
        <f>G31+H31+I31+J31+K31+L31</f>
        <v>1761</v>
      </c>
      <c r="N31" s="122"/>
      <c r="O31" s="22"/>
      <c r="P31" s="21"/>
      <c r="S31" s="69"/>
      <c r="T31" s="69"/>
      <c r="U31" s="69"/>
      <c r="V31" s="69"/>
    </row>
  </sheetData>
  <mergeCells count="40">
    <mergeCell ref="A30:C30"/>
    <mergeCell ref="D30:F31"/>
    <mergeCell ref="M30:N30"/>
    <mergeCell ref="A31:C31"/>
    <mergeCell ref="M31:N31"/>
    <mergeCell ref="A26:V26"/>
    <mergeCell ref="A27:L27"/>
    <mergeCell ref="P27:R27"/>
    <mergeCell ref="A28:V28"/>
    <mergeCell ref="A29:C29"/>
    <mergeCell ref="D29:F29"/>
    <mergeCell ref="M29:N29"/>
    <mergeCell ref="D19:F24"/>
    <mergeCell ref="P19:P24"/>
    <mergeCell ref="Q19:Q24"/>
    <mergeCell ref="R19:R24"/>
    <mergeCell ref="A25:F25"/>
    <mergeCell ref="P25:R25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B9C92-96D5-457A-B2A4-37141EFD1ACE}">
  <sheetPr>
    <tabColor rgb="FFFFC000"/>
    <pageSetUpPr fitToPage="1"/>
  </sheetPr>
  <dimension ref="A1:W33"/>
  <sheetViews>
    <sheetView showGridLines="0" view="pageBreakPreview" topLeftCell="A18" zoomScaleNormal="62" zoomScaleSheetLayoutView="100" workbookViewId="0">
      <selection activeCell="S28" sqref="S28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82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204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205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1650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M33</f>
        <v>1706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56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N29</f>
        <v>25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88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78" t="s">
        <v>22</v>
      </c>
      <c r="J18" s="78" t="s">
        <v>93</v>
      </c>
      <c r="K18" s="78" t="s">
        <v>94</v>
      </c>
      <c r="L18" s="78" t="s">
        <v>95</v>
      </c>
      <c r="M18" s="106"/>
      <c r="N18" s="106"/>
      <c r="O18" s="106"/>
      <c r="P18" s="80" t="s">
        <v>22</v>
      </c>
      <c r="Q18" s="80" t="s">
        <v>23</v>
      </c>
      <c r="R18" s="80" t="s">
        <v>24</v>
      </c>
      <c r="S18" s="79" t="s">
        <v>6</v>
      </c>
      <c r="T18" s="79" t="s">
        <v>7</v>
      </c>
      <c r="U18" s="79" t="s">
        <v>8</v>
      </c>
      <c r="V18" s="79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4</v>
      </c>
      <c r="D19" s="109" t="s">
        <v>206</v>
      </c>
      <c r="E19" s="109"/>
      <c r="F19" s="109"/>
      <c r="G19" s="17">
        <v>80</v>
      </c>
      <c r="H19" s="18"/>
      <c r="I19" s="18"/>
      <c r="J19" s="19"/>
      <c r="K19" s="19"/>
      <c r="L19" s="19"/>
      <c r="M19" s="18">
        <f t="shared" ref="M19:M26" si="0">SUM(G19:L19)</f>
        <v>80</v>
      </c>
      <c r="N19" s="20">
        <v>4</v>
      </c>
      <c r="O19" s="28">
        <f t="shared" ref="O19:O26" si="1">M19*N19</f>
        <v>320</v>
      </c>
      <c r="P19" s="110">
        <v>55</v>
      </c>
      <c r="Q19" s="110">
        <v>28</v>
      </c>
      <c r="R19" s="111">
        <v>28</v>
      </c>
      <c r="S19" s="39">
        <v>9</v>
      </c>
      <c r="T19" s="39">
        <f>S19+1</f>
        <v>10</v>
      </c>
      <c r="U19" s="39">
        <f t="shared" ref="U19:U26" si="2">S19*N19</f>
        <v>36</v>
      </c>
      <c r="V19" s="39">
        <f t="shared" ref="V19:V26" si="3">T19*N19</f>
        <v>40</v>
      </c>
      <c r="W19" s="3"/>
    </row>
    <row r="20" spans="1:23" s="4" customFormat="1" ht="18" customHeight="1">
      <c r="A20" s="25">
        <f>C19+1</f>
        <v>5</v>
      </c>
      <c r="B20" s="26" t="s">
        <v>25</v>
      </c>
      <c r="C20" s="25">
        <f>C19+N20</f>
        <v>8</v>
      </c>
      <c r="D20" s="109"/>
      <c r="E20" s="109"/>
      <c r="F20" s="109"/>
      <c r="G20" s="17"/>
      <c r="H20" s="18">
        <v>75</v>
      </c>
      <c r="I20" s="18"/>
      <c r="J20" s="19"/>
      <c r="K20" s="19"/>
      <c r="L20" s="19"/>
      <c r="M20" s="18">
        <f t="shared" si="0"/>
        <v>75</v>
      </c>
      <c r="N20" s="20">
        <v>4</v>
      </c>
      <c r="O20" s="28">
        <f t="shared" si="1"/>
        <v>300</v>
      </c>
      <c r="P20" s="110"/>
      <c r="Q20" s="110"/>
      <c r="R20" s="111"/>
      <c r="S20" s="39">
        <v>9.1999999999999993</v>
      </c>
      <c r="T20" s="39">
        <f t="shared" ref="T20:T26" si="4">S20+1</f>
        <v>10.199999999999999</v>
      </c>
      <c r="U20" s="39">
        <f t="shared" si="2"/>
        <v>36.799999999999997</v>
      </c>
      <c r="V20" s="39">
        <f t="shared" si="3"/>
        <v>40.799999999999997</v>
      </c>
      <c r="W20" s="3"/>
    </row>
    <row r="21" spans="1:23" s="4" customFormat="1" ht="18" customHeight="1">
      <c r="A21" s="25">
        <f t="shared" ref="A21:A26" si="5">C20+1</f>
        <v>9</v>
      </c>
      <c r="B21" s="26" t="s">
        <v>25</v>
      </c>
      <c r="C21" s="25">
        <f>C20+N21</f>
        <v>13</v>
      </c>
      <c r="D21" s="109"/>
      <c r="E21" s="109"/>
      <c r="F21" s="109"/>
      <c r="G21" s="17"/>
      <c r="H21" s="18"/>
      <c r="I21" s="18">
        <v>70</v>
      </c>
      <c r="J21" s="19"/>
      <c r="K21" s="19"/>
      <c r="L21" s="19"/>
      <c r="M21" s="18">
        <f t="shared" si="0"/>
        <v>70</v>
      </c>
      <c r="N21" s="20">
        <v>5</v>
      </c>
      <c r="O21" s="28">
        <f t="shared" si="1"/>
        <v>350</v>
      </c>
      <c r="P21" s="110"/>
      <c r="Q21" s="110"/>
      <c r="R21" s="111"/>
      <c r="S21" s="39">
        <v>9.1999999999999993</v>
      </c>
      <c r="T21" s="39">
        <f t="shared" si="4"/>
        <v>10.199999999999999</v>
      </c>
      <c r="U21" s="39">
        <f t="shared" si="2"/>
        <v>46</v>
      </c>
      <c r="V21" s="39">
        <f t="shared" si="3"/>
        <v>51</v>
      </c>
      <c r="W21" s="3"/>
    </row>
    <row r="22" spans="1:23" s="4" customFormat="1" ht="18" customHeight="1">
      <c r="A22" s="25">
        <f t="shared" si="5"/>
        <v>14</v>
      </c>
      <c r="B22" s="26" t="s">
        <v>25</v>
      </c>
      <c r="C22" s="25">
        <f>C21+N22</f>
        <v>18</v>
      </c>
      <c r="D22" s="109"/>
      <c r="E22" s="109"/>
      <c r="F22" s="109"/>
      <c r="G22" s="17"/>
      <c r="H22" s="18"/>
      <c r="I22" s="18"/>
      <c r="J22" s="19">
        <v>65</v>
      </c>
      <c r="K22" s="19"/>
      <c r="L22" s="19"/>
      <c r="M22" s="18">
        <f t="shared" si="0"/>
        <v>65</v>
      </c>
      <c r="N22" s="20">
        <v>5</v>
      </c>
      <c r="O22" s="28">
        <f t="shared" si="1"/>
        <v>325</v>
      </c>
      <c r="P22" s="110"/>
      <c r="Q22" s="110"/>
      <c r="R22" s="111"/>
      <c r="S22" s="39">
        <v>9.3000000000000007</v>
      </c>
      <c r="T22" s="39">
        <f t="shared" si="4"/>
        <v>10.3</v>
      </c>
      <c r="U22" s="39">
        <f t="shared" si="2"/>
        <v>46.5</v>
      </c>
      <c r="V22" s="39">
        <f t="shared" si="3"/>
        <v>51.5</v>
      </c>
      <c r="W22" s="3"/>
    </row>
    <row r="23" spans="1:23" s="4" customFormat="1" ht="18" customHeight="1">
      <c r="A23" s="25">
        <f t="shared" si="5"/>
        <v>19</v>
      </c>
      <c r="B23" s="26" t="s">
        <v>25</v>
      </c>
      <c r="C23" s="25">
        <f>C22+N23</f>
        <v>22</v>
      </c>
      <c r="D23" s="109"/>
      <c r="E23" s="109"/>
      <c r="F23" s="109"/>
      <c r="G23" s="17"/>
      <c r="H23" s="18"/>
      <c r="I23" s="18"/>
      <c r="J23" s="19"/>
      <c r="K23" s="19">
        <v>60</v>
      </c>
      <c r="L23" s="19"/>
      <c r="M23" s="18">
        <f t="shared" si="0"/>
        <v>60</v>
      </c>
      <c r="N23" s="20">
        <v>4</v>
      </c>
      <c r="O23" s="28">
        <f t="shared" si="1"/>
        <v>240</v>
      </c>
      <c r="P23" s="110"/>
      <c r="Q23" s="110"/>
      <c r="R23" s="111"/>
      <c r="S23" s="39">
        <v>9.1</v>
      </c>
      <c r="T23" s="39">
        <f t="shared" si="4"/>
        <v>10.1</v>
      </c>
      <c r="U23" s="39">
        <f t="shared" si="2"/>
        <v>36.4</v>
      </c>
      <c r="V23" s="39">
        <f t="shared" si="3"/>
        <v>40.4</v>
      </c>
      <c r="W23" s="3"/>
    </row>
    <row r="24" spans="1:23" s="4" customFormat="1" ht="18" customHeight="1">
      <c r="A24" s="25">
        <f t="shared" si="5"/>
        <v>23</v>
      </c>
      <c r="B24" s="26" t="s">
        <v>25</v>
      </c>
      <c r="C24" s="25">
        <f t="shared" ref="C24:C26" si="6">C23+N24</f>
        <v>23</v>
      </c>
      <c r="D24" s="109"/>
      <c r="E24" s="109"/>
      <c r="F24" s="109"/>
      <c r="G24" s="17"/>
      <c r="H24" s="18">
        <v>58</v>
      </c>
      <c r="I24" s="18"/>
      <c r="J24" s="19"/>
      <c r="K24" s="19"/>
      <c r="L24" s="19"/>
      <c r="M24" s="18">
        <f t="shared" si="0"/>
        <v>58</v>
      </c>
      <c r="N24" s="20">
        <v>1</v>
      </c>
      <c r="O24" s="28">
        <f t="shared" si="1"/>
        <v>58</v>
      </c>
      <c r="P24" s="110"/>
      <c r="Q24" s="110"/>
      <c r="R24" s="111"/>
      <c r="S24" s="39">
        <v>9</v>
      </c>
      <c r="T24" s="39">
        <f t="shared" si="4"/>
        <v>10</v>
      </c>
      <c r="U24" s="39">
        <f t="shared" si="2"/>
        <v>9</v>
      </c>
      <c r="V24" s="39">
        <f t="shared" si="3"/>
        <v>10</v>
      </c>
      <c r="W24" s="3"/>
    </row>
    <row r="25" spans="1:23" s="4" customFormat="1" ht="18" customHeight="1">
      <c r="A25" s="25">
        <f t="shared" si="5"/>
        <v>24</v>
      </c>
      <c r="B25" s="26" t="s">
        <v>25</v>
      </c>
      <c r="C25" s="25">
        <f t="shared" si="6"/>
        <v>24</v>
      </c>
      <c r="D25" s="109"/>
      <c r="E25" s="109"/>
      <c r="F25" s="109"/>
      <c r="G25" s="17">
        <v>37</v>
      </c>
      <c r="H25" s="18"/>
      <c r="I25" s="18"/>
      <c r="J25" s="19">
        <v>37</v>
      </c>
      <c r="K25" s="19"/>
      <c r="L25" s="19"/>
      <c r="M25" s="18">
        <f t="shared" si="0"/>
        <v>74</v>
      </c>
      <c r="N25" s="20">
        <v>1</v>
      </c>
      <c r="O25" s="28">
        <f t="shared" si="1"/>
        <v>74</v>
      </c>
      <c r="P25" s="110"/>
      <c r="Q25" s="110"/>
      <c r="R25" s="111"/>
      <c r="S25" s="39">
        <v>9.1999999999999993</v>
      </c>
      <c r="T25" s="39">
        <f t="shared" si="4"/>
        <v>10.199999999999999</v>
      </c>
      <c r="U25" s="39">
        <f t="shared" si="2"/>
        <v>9.1999999999999993</v>
      </c>
      <c r="V25" s="39">
        <f t="shared" si="3"/>
        <v>10.199999999999999</v>
      </c>
      <c r="W25" s="3"/>
    </row>
    <row r="26" spans="1:23" s="4" customFormat="1" ht="18" customHeight="1">
      <c r="A26" s="25">
        <f t="shared" si="5"/>
        <v>25</v>
      </c>
      <c r="B26" s="26" t="s">
        <v>25</v>
      </c>
      <c r="C26" s="25">
        <f t="shared" si="6"/>
        <v>25</v>
      </c>
      <c r="D26" s="109"/>
      <c r="E26" s="109"/>
      <c r="F26" s="109"/>
      <c r="G26" s="17"/>
      <c r="H26" s="18"/>
      <c r="I26" s="18">
        <v>16</v>
      </c>
      <c r="J26" s="19"/>
      <c r="K26" s="19">
        <v>23</v>
      </c>
      <c r="L26" s="19"/>
      <c r="M26" s="18">
        <f t="shared" si="0"/>
        <v>39</v>
      </c>
      <c r="N26" s="20">
        <v>1</v>
      </c>
      <c r="O26" s="28">
        <f t="shared" si="1"/>
        <v>39</v>
      </c>
      <c r="P26" s="110"/>
      <c r="Q26" s="110"/>
      <c r="R26" s="111"/>
      <c r="S26" s="39">
        <v>4.0999999999999996</v>
      </c>
      <c r="T26" s="39">
        <f t="shared" si="4"/>
        <v>5.0999999999999996</v>
      </c>
      <c r="U26" s="39">
        <f t="shared" si="2"/>
        <v>4.0999999999999996</v>
      </c>
      <c r="V26" s="39">
        <f t="shared" si="3"/>
        <v>5.0999999999999996</v>
      </c>
      <c r="W26" s="3"/>
    </row>
    <row r="27" spans="1:23" s="23" customFormat="1" ht="21.95" customHeight="1">
      <c r="A27" s="112" t="s">
        <v>2</v>
      </c>
      <c r="B27" s="112"/>
      <c r="C27" s="112"/>
      <c r="D27" s="112"/>
      <c r="E27" s="112"/>
      <c r="F27" s="112"/>
      <c r="G27" s="52">
        <f>O19+G25</f>
        <v>357</v>
      </c>
      <c r="H27" s="53">
        <f>O20+H24</f>
        <v>358</v>
      </c>
      <c r="I27" s="53">
        <f>O21+I26</f>
        <v>366</v>
      </c>
      <c r="J27" s="53">
        <f>O22+J25</f>
        <v>362</v>
      </c>
      <c r="K27" s="53">
        <f>O23+K26</f>
        <v>263</v>
      </c>
      <c r="L27" s="53"/>
      <c r="M27" s="54"/>
      <c r="N27" s="55">
        <f>SUM(N19:N26)</f>
        <v>25</v>
      </c>
      <c r="O27" s="56">
        <f>SUM(O19:O26)</f>
        <v>1706</v>
      </c>
      <c r="P27" s="113">
        <f>(P19*Q19*R19)/1000000*N27</f>
        <v>1.0780000000000001</v>
      </c>
      <c r="Q27" s="113"/>
      <c r="R27" s="113"/>
      <c r="S27" s="57"/>
      <c r="T27" s="58"/>
      <c r="U27" s="59">
        <f>SUM(U19:U26)</f>
        <v>224</v>
      </c>
      <c r="V27" s="59">
        <f>SUM(V19:V26)</f>
        <v>249</v>
      </c>
    </row>
    <row r="28" spans="1:23" ht="15" customHeight="1">
      <c r="A28" s="114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6"/>
      <c r="W28" s="2"/>
    </row>
    <row r="29" spans="1:23" s="6" customFormat="1" ht="15" customHeight="1">
      <c r="A29" s="103" t="s">
        <v>5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46"/>
      <c r="N29" s="47">
        <f>N27</f>
        <v>25</v>
      </c>
      <c r="O29" s="48">
        <f>O27</f>
        <v>1706</v>
      </c>
      <c r="P29" s="117">
        <f>P27</f>
        <v>1.0780000000000001</v>
      </c>
      <c r="Q29" s="117"/>
      <c r="R29" s="117"/>
      <c r="S29" s="49"/>
      <c r="T29" s="49"/>
      <c r="U29" s="50">
        <f>U27</f>
        <v>224</v>
      </c>
      <c r="V29" s="50">
        <f>V27</f>
        <v>249</v>
      </c>
      <c r="W29" s="5"/>
    </row>
    <row r="30" spans="1:23" ht="15" customHeight="1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</row>
    <row r="31" spans="1:23" s="7" customFormat="1" ht="30" customHeight="1">
      <c r="A31" s="106" t="s">
        <v>10</v>
      </c>
      <c r="B31" s="106"/>
      <c r="C31" s="106"/>
      <c r="D31" s="103" t="str">
        <f>D17</f>
        <v>COLOR</v>
      </c>
      <c r="E31" s="103"/>
      <c r="F31" s="103"/>
      <c r="G31" s="51" t="str">
        <f t="shared" ref="G31:L31" si="7">G18</f>
        <v>S</v>
      </c>
      <c r="H31" s="51" t="str">
        <f t="shared" si="7"/>
        <v>M</v>
      </c>
      <c r="I31" s="51" t="str">
        <f t="shared" si="7"/>
        <v>L</v>
      </c>
      <c r="J31" s="51" t="str">
        <f t="shared" si="7"/>
        <v>XL</v>
      </c>
      <c r="K31" s="51" t="str">
        <f t="shared" si="7"/>
        <v>XXL</v>
      </c>
      <c r="L31" s="51" t="str">
        <f t="shared" si="7"/>
        <v>3XL</v>
      </c>
      <c r="M31" s="103" t="s">
        <v>2</v>
      </c>
      <c r="N31" s="103"/>
      <c r="O31" s="81"/>
      <c r="P31" s="81"/>
      <c r="S31" s="81"/>
      <c r="T31" s="81"/>
      <c r="U31" s="81"/>
      <c r="V31" s="81"/>
    </row>
    <row r="32" spans="1:23" s="7" customFormat="1" ht="24.95" customHeight="1">
      <c r="A32" s="119" t="s">
        <v>12</v>
      </c>
      <c r="B32" s="119"/>
      <c r="C32" s="119"/>
      <c r="D32" s="120" t="str">
        <f>D19</f>
        <v>Aqua</v>
      </c>
      <c r="E32" s="121"/>
      <c r="F32" s="121"/>
      <c r="G32" s="77">
        <v>350</v>
      </c>
      <c r="H32" s="77">
        <v>350</v>
      </c>
      <c r="I32" s="77">
        <v>350</v>
      </c>
      <c r="J32" s="77">
        <v>350</v>
      </c>
      <c r="K32" s="77">
        <v>250</v>
      </c>
      <c r="L32" s="77"/>
      <c r="M32" s="122">
        <f>G32+H32+I32+J32+K32+L32</f>
        <v>1650</v>
      </c>
      <c r="N32" s="122"/>
      <c r="O32" s="22"/>
      <c r="P32" s="21"/>
      <c r="S32" s="81"/>
      <c r="T32" s="81"/>
      <c r="U32" s="81"/>
      <c r="V32" s="81"/>
    </row>
    <row r="33" spans="1:22" s="7" customFormat="1" ht="24.95" customHeight="1">
      <c r="A33" s="119" t="s">
        <v>30</v>
      </c>
      <c r="B33" s="119"/>
      <c r="C33" s="119"/>
      <c r="D33" s="121"/>
      <c r="E33" s="121"/>
      <c r="F33" s="121"/>
      <c r="G33" s="77">
        <f t="shared" ref="G33:K33" si="8">G27</f>
        <v>357</v>
      </c>
      <c r="H33" s="77">
        <f t="shared" si="8"/>
        <v>358</v>
      </c>
      <c r="I33" s="77">
        <f t="shared" si="8"/>
        <v>366</v>
      </c>
      <c r="J33" s="77">
        <f t="shared" si="8"/>
        <v>362</v>
      </c>
      <c r="K33" s="77">
        <f t="shared" si="8"/>
        <v>263</v>
      </c>
      <c r="L33" s="77"/>
      <c r="M33" s="122">
        <f>G33+H33+I33+J33+K33+L33</f>
        <v>1706</v>
      </c>
      <c r="N33" s="122"/>
      <c r="O33" s="22"/>
      <c r="P33" s="21"/>
      <c r="S33" s="81"/>
      <c r="T33" s="81"/>
      <c r="U33" s="81"/>
      <c r="V33" s="81"/>
    </row>
  </sheetData>
  <mergeCells count="40">
    <mergeCell ref="A32:C32"/>
    <mergeCell ref="D32:F33"/>
    <mergeCell ref="M32:N32"/>
    <mergeCell ref="A33:C33"/>
    <mergeCell ref="M33:N33"/>
    <mergeCell ref="A28:V28"/>
    <mergeCell ref="A29:L29"/>
    <mergeCell ref="P29:R29"/>
    <mergeCell ref="A30:V30"/>
    <mergeCell ref="A31:C31"/>
    <mergeCell ref="D31:F31"/>
    <mergeCell ref="M31:N31"/>
    <mergeCell ref="D19:F26"/>
    <mergeCell ref="P19:P26"/>
    <mergeCell ref="Q19:Q26"/>
    <mergeCell ref="R19:R26"/>
    <mergeCell ref="A27:F27"/>
    <mergeCell ref="P27:R27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217D0-DF84-4C48-95D3-7B65A5E86100}">
  <sheetPr>
    <tabColor rgb="FF92D050"/>
    <pageSetUpPr fitToPage="1"/>
  </sheetPr>
  <dimension ref="A1:W33"/>
  <sheetViews>
    <sheetView showGridLines="0" view="pageBreakPreview" topLeftCell="A18" zoomScaleNormal="62" zoomScaleSheetLayoutView="100" workbookViewId="0">
      <selection activeCell="T32" sqref="T32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82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207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208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1820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M33</f>
        <v>1856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36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N29</f>
        <v>27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88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78" t="s">
        <v>22</v>
      </c>
      <c r="J18" s="78" t="s">
        <v>93</v>
      </c>
      <c r="K18" s="78" t="s">
        <v>94</v>
      </c>
      <c r="L18" s="78" t="s">
        <v>95</v>
      </c>
      <c r="M18" s="106"/>
      <c r="N18" s="106"/>
      <c r="O18" s="106"/>
      <c r="P18" s="80" t="s">
        <v>22</v>
      </c>
      <c r="Q18" s="80" t="s">
        <v>23</v>
      </c>
      <c r="R18" s="80" t="s">
        <v>24</v>
      </c>
      <c r="S18" s="79" t="s">
        <v>6</v>
      </c>
      <c r="T18" s="79" t="s">
        <v>7</v>
      </c>
      <c r="U18" s="79" t="s">
        <v>8</v>
      </c>
      <c r="V18" s="79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4</v>
      </c>
      <c r="D19" s="109" t="s">
        <v>99</v>
      </c>
      <c r="E19" s="109"/>
      <c r="F19" s="109"/>
      <c r="G19" s="17">
        <v>80</v>
      </c>
      <c r="H19" s="18"/>
      <c r="I19" s="18"/>
      <c r="J19" s="19"/>
      <c r="K19" s="19"/>
      <c r="L19" s="19"/>
      <c r="M19" s="18">
        <f t="shared" ref="M19:M26" si="0">SUM(G19:L19)</f>
        <v>80</v>
      </c>
      <c r="N19" s="20">
        <v>4</v>
      </c>
      <c r="O19" s="28">
        <f t="shared" ref="O19:O26" si="1">M19*N19</f>
        <v>320</v>
      </c>
      <c r="P19" s="110">
        <v>55</v>
      </c>
      <c r="Q19" s="110">
        <v>28</v>
      </c>
      <c r="R19" s="111">
        <v>28</v>
      </c>
      <c r="S19" s="39">
        <v>10</v>
      </c>
      <c r="T19" s="39">
        <f>S19+1</f>
        <v>11</v>
      </c>
      <c r="U19" s="39">
        <f t="shared" ref="U19:U26" si="2">S19*N19</f>
        <v>40</v>
      </c>
      <c r="V19" s="39">
        <f t="shared" ref="V19:V26" si="3">T19*N19</f>
        <v>44</v>
      </c>
      <c r="W19" s="3"/>
    </row>
    <row r="20" spans="1:23" s="4" customFormat="1" ht="18" customHeight="1">
      <c r="A20" s="25">
        <f>C19+1</f>
        <v>5</v>
      </c>
      <c r="B20" s="26" t="s">
        <v>25</v>
      </c>
      <c r="C20" s="25">
        <f>C19+N20</f>
        <v>9</v>
      </c>
      <c r="D20" s="109"/>
      <c r="E20" s="109"/>
      <c r="F20" s="109"/>
      <c r="G20" s="17"/>
      <c r="H20" s="18">
        <v>75</v>
      </c>
      <c r="I20" s="18"/>
      <c r="J20" s="19"/>
      <c r="K20" s="19"/>
      <c r="L20" s="19"/>
      <c r="M20" s="18">
        <f t="shared" si="0"/>
        <v>75</v>
      </c>
      <c r="N20" s="20">
        <v>5</v>
      </c>
      <c r="O20" s="28">
        <f t="shared" si="1"/>
        <v>375</v>
      </c>
      <c r="P20" s="110"/>
      <c r="Q20" s="110"/>
      <c r="R20" s="111"/>
      <c r="S20" s="39">
        <v>10.199999999999999</v>
      </c>
      <c r="T20" s="39">
        <f t="shared" ref="T20:T26" si="4">S20+1</f>
        <v>11.2</v>
      </c>
      <c r="U20" s="39">
        <f t="shared" si="2"/>
        <v>51</v>
      </c>
      <c r="V20" s="39">
        <f t="shared" si="3"/>
        <v>56</v>
      </c>
      <c r="W20" s="3"/>
    </row>
    <row r="21" spans="1:23" s="4" customFormat="1" ht="18" customHeight="1">
      <c r="A21" s="25">
        <f t="shared" ref="A21:A26" si="5">C20+1</f>
        <v>10</v>
      </c>
      <c r="B21" s="26" t="s">
        <v>25</v>
      </c>
      <c r="C21" s="25">
        <f>C20+N21</f>
        <v>14</v>
      </c>
      <c r="D21" s="109"/>
      <c r="E21" s="109"/>
      <c r="F21" s="109"/>
      <c r="G21" s="17"/>
      <c r="H21" s="18"/>
      <c r="I21" s="18">
        <v>70</v>
      </c>
      <c r="J21" s="19"/>
      <c r="K21" s="19"/>
      <c r="L21" s="19"/>
      <c r="M21" s="18">
        <f t="shared" si="0"/>
        <v>70</v>
      </c>
      <c r="N21" s="20">
        <v>5</v>
      </c>
      <c r="O21" s="28">
        <f t="shared" si="1"/>
        <v>350</v>
      </c>
      <c r="P21" s="110"/>
      <c r="Q21" s="110"/>
      <c r="R21" s="111"/>
      <c r="S21" s="39">
        <v>10.25</v>
      </c>
      <c r="T21" s="39">
        <f t="shared" si="4"/>
        <v>11.25</v>
      </c>
      <c r="U21" s="39">
        <f t="shared" si="2"/>
        <v>51.25</v>
      </c>
      <c r="V21" s="39">
        <f t="shared" si="3"/>
        <v>56.25</v>
      </c>
      <c r="W21" s="3"/>
    </row>
    <row r="22" spans="1:23" s="4" customFormat="1" ht="18" customHeight="1">
      <c r="A22" s="25">
        <f t="shared" si="5"/>
        <v>15</v>
      </c>
      <c r="B22" s="26" t="s">
        <v>25</v>
      </c>
      <c r="C22" s="25">
        <f>C21+N22</f>
        <v>20</v>
      </c>
      <c r="D22" s="109"/>
      <c r="E22" s="109"/>
      <c r="F22" s="109"/>
      <c r="G22" s="17"/>
      <c r="H22" s="18"/>
      <c r="I22" s="18"/>
      <c r="J22" s="19">
        <v>65</v>
      </c>
      <c r="K22" s="19"/>
      <c r="L22" s="19"/>
      <c r="M22" s="18">
        <f t="shared" si="0"/>
        <v>65</v>
      </c>
      <c r="N22" s="20">
        <v>6</v>
      </c>
      <c r="O22" s="28">
        <f t="shared" si="1"/>
        <v>390</v>
      </c>
      <c r="P22" s="110"/>
      <c r="Q22" s="110"/>
      <c r="R22" s="111"/>
      <c r="S22" s="39">
        <v>10.25</v>
      </c>
      <c r="T22" s="39">
        <f t="shared" si="4"/>
        <v>11.25</v>
      </c>
      <c r="U22" s="39">
        <f t="shared" si="2"/>
        <v>61.5</v>
      </c>
      <c r="V22" s="39">
        <f t="shared" si="3"/>
        <v>67.5</v>
      </c>
      <c r="W22" s="3"/>
    </row>
    <row r="23" spans="1:23" s="4" customFormat="1" ht="18" customHeight="1">
      <c r="A23" s="25">
        <f t="shared" si="5"/>
        <v>21</v>
      </c>
      <c r="B23" s="26" t="s">
        <v>25</v>
      </c>
      <c r="C23" s="25">
        <f>C22+N23</f>
        <v>24</v>
      </c>
      <c r="D23" s="109"/>
      <c r="E23" s="109"/>
      <c r="F23" s="109"/>
      <c r="G23" s="17"/>
      <c r="H23" s="18"/>
      <c r="I23" s="18"/>
      <c r="J23" s="19"/>
      <c r="K23" s="19">
        <v>60</v>
      </c>
      <c r="L23" s="19"/>
      <c r="M23" s="18">
        <f t="shared" si="0"/>
        <v>60</v>
      </c>
      <c r="N23" s="20">
        <v>4</v>
      </c>
      <c r="O23" s="28">
        <f t="shared" si="1"/>
        <v>240</v>
      </c>
      <c r="P23" s="110"/>
      <c r="Q23" s="110"/>
      <c r="R23" s="111"/>
      <c r="S23" s="39">
        <v>10</v>
      </c>
      <c r="T23" s="39">
        <f t="shared" si="4"/>
        <v>11</v>
      </c>
      <c r="U23" s="39">
        <f t="shared" si="2"/>
        <v>40</v>
      </c>
      <c r="V23" s="39">
        <f t="shared" si="3"/>
        <v>44</v>
      </c>
      <c r="W23" s="3"/>
    </row>
    <row r="24" spans="1:23" s="4" customFormat="1" ht="18" customHeight="1">
      <c r="A24" s="25">
        <f t="shared" si="5"/>
        <v>25</v>
      </c>
      <c r="B24" s="26" t="s">
        <v>25</v>
      </c>
      <c r="C24" s="25">
        <f t="shared" ref="C24:C26" si="6">C23+N24</f>
        <v>25</v>
      </c>
      <c r="D24" s="109"/>
      <c r="E24" s="109"/>
      <c r="F24" s="109"/>
      <c r="G24" s="17"/>
      <c r="H24" s="18"/>
      <c r="I24" s="18">
        <v>60</v>
      </c>
      <c r="J24" s="19"/>
      <c r="K24" s="19"/>
      <c r="L24" s="19"/>
      <c r="M24" s="18">
        <f t="shared" si="0"/>
        <v>60</v>
      </c>
      <c r="N24" s="20">
        <v>1</v>
      </c>
      <c r="O24" s="28">
        <f t="shared" si="1"/>
        <v>60</v>
      </c>
      <c r="P24" s="110"/>
      <c r="Q24" s="110"/>
      <c r="R24" s="111"/>
      <c r="S24" s="39">
        <v>8.8000000000000007</v>
      </c>
      <c r="T24" s="39">
        <f t="shared" si="4"/>
        <v>9.8000000000000007</v>
      </c>
      <c r="U24" s="39">
        <f t="shared" si="2"/>
        <v>8.8000000000000007</v>
      </c>
      <c r="V24" s="39">
        <f t="shared" si="3"/>
        <v>9.8000000000000007</v>
      </c>
      <c r="W24" s="3"/>
    </row>
    <row r="25" spans="1:23" s="4" customFormat="1" ht="18" customHeight="1">
      <c r="A25" s="25">
        <f t="shared" si="5"/>
        <v>26</v>
      </c>
      <c r="B25" s="26" t="s">
        <v>25</v>
      </c>
      <c r="C25" s="25">
        <f t="shared" si="6"/>
        <v>26</v>
      </c>
      <c r="D25" s="109"/>
      <c r="E25" s="109"/>
      <c r="F25" s="109"/>
      <c r="G25" s="17">
        <v>31</v>
      </c>
      <c r="H25" s="18"/>
      <c r="I25" s="18"/>
      <c r="J25" s="19"/>
      <c r="K25" s="19">
        <v>32</v>
      </c>
      <c r="L25" s="19"/>
      <c r="M25" s="18">
        <f t="shared" si="0"/>
        <v>63</v>
      </c>
      <c r="N25" s="20">
        <v>1</v>
      </c>
      <c r="O25" s="28">
        <f t="shared" si="1"/>
        <v>63</v>
      </c>
      <c r="P25" s="110"/>
      <c r="Q25" s="110"/>
      <c r="R25" s="111"/>
      <c r="S25" s="39">
        <v>9.25</v>
      </c>
      <c r="T25" s="39">
        <f t="shared" si="4"/>
        <v>10.25</v>
      </c>
      <c r="U25" s="39">
        <f t="shared" si="2"/>
        <v>9.25</v>
      </c>
      <c r="V25" s="39">
        <f t="shared" si="3"/>
        <v>10.25</v>
      </c>
      <c r="W25" s="3"/>
    </row>
    <row r="26" spans="1:23" s="4" customFormat="1" ht="18" customHeight="1">
      <c r="A26" s="25">
        <f t="shared" si="5"/>
        <v>27</v>
      </c>
      <c r="B26" s="26" t="s">
        <v>25</v>
      </c>
      <c r="C26" s="25">
        <f t="shared" si="6"/>
        <v>27</v>
      </c>
      <c r="D26" s="109"/>
      <c r="E26" s="109"/>
      <c r="F26" s="109"/>
      <c r="G26" s="17"/>
      <c r="H26" s="18">
        <v>34</v>
      </c>
      <c r="I26" s="18"/>
      <c r="J26" s="19">
        <v>24</v>
      </c>
      <c r="K26" s="19"/>
      <c r="L26" s="19"/>
      <c r="M26" s="18">
        <f t="shared" si="0"/>
        <v>58</v>
      </c>
      <c r="N26" s="20">
        <v>1</v>
      </c>
      <c r="O26" s="28">
        <f t="shared" si="1"/>
        <v>58</v>
      </c>
      <c r="P26" s="110"/>
      <c r="Q26" s="110"/>
      <c r="R26" s="111"/>
      <c r="S26" s="39">
        <v>8.5500000000000007</v>
      </c>
      <c r="T26" s="39">
        <f t="shared" si="4"/>
        <v>9.5500000000000007</v>
      </c>
      <c r="U26" s="39">
        <f t="shared" si="2"/>
        <v>8.5500000000000007</v>
      </c>
      <c r="V26" s="39">
        <f t="shared" si="3"/>
        <v>9.5500000000000007</v>
      </c>
      <c r="W26" s="3"/>
    </row>
    <row r="27" spans="1:23" s="23" customFormat="1" ht="21.95" customHeight="1">
      <c r="A27" s="112" t="s">
        <v>2</v>
      </c>
      <c r="B27" s="112"/>
      <c r="C27" s="112"/>
      <c r="D27" s="112"/>
      <c r="E27" s="112"/>
      <c r="F27" s="112"/>
      <c r="G27" s="52">
        <f>O19+G25</f>
        <v>351</v>
      </c>
      <c r="H27" s="53">
        <f>O20+H26</f>
        <v>409</v>
      </c>
      <c r="I27" s="53">
        <f>O21+I24</f>
        <v>410</v>
      </c>
      <c r="J27" s="53">
        <f>O22+J26</f>
        <v>414</v>
      </c>
      <c r="K27" s="53">
        <f>O23+K25</f>
        <v>272</v>
      </c>
      <c r="L27" s="53"/>
      <c r="M27" s="54"/>
      <c r="N27" s="55">
        <f>SUM(N19:N26)</f>
        <v>27</v>
      </c>
      <c r="O27" s="56">
        <f>SUM(O19:O26)</f>
        <v>1856</v>
      </c>
      <c r="P27" s="113">
        <f>(P19*Q19*R19)/1000000*N27</f>
        <v>1.1642399999999999</v>
      </c>
      <c r="Q27" s="113"/>
      <c r="R27" s="113"/>
      <c r="S27" s="57"/>
      <c r="T27" s="58"/>
      <c r="U27" s="59">
        <f>SUM(U19:U26)</f>
        <v>270.35000000000002</v>
      </c>
      <c r="V27" s="59">
        <f>SUM(V19:V26)</f>
        <v>297.35000000000002</v>
      </c>
    </row>
    <row r="28" spans="1:23" ht="15" customHeight="1">
      <c r="A28" s="114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6"/>
      <c r="W28" s="2"/>
    </row>
    <row r="29" spans="1:23" s="6" customFormat="1" ht="15" customHeight="1">
      <c r="A29" s="103" t="s">
        <v>5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46"/>
      <c r="N29" s="47">
        <f>N27</f>
        <v>27</v>
      </c>
      <c r="O29" s="48">
        <f>O27</f>
        <v>1856</v>
      </c>
      <c r="P29" s="117">
        <f>P27</f>
        <v>1.1642399999999999</v>
      </c>
      <c r="Q29" s="117"/>
      <c r="R29" s="117"/>
      <c r="S29" s="49"/>
      <c r="T29" s="49"/>
      <c r="U29" s="50">
        <f>U27</f>
        <v>270.35000000000002</v>
      </c>
      <c r="V29" s="50">
        <f>V27</f>
        <v>297.35000000000002</v>
      </c>
      <c r="W29" s="5"/>
    </row>
    <row r="30" spans="1:23" ht="15" customHeight="1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</row>
    <row r="31" spans="1:23" s="7" customFormat="1" ht="30" customHeight="1">
      <c r="A31" s="106" t="s">
        <v>10</v>
      </c>
      <c r="B31" s="106"/>
      <c r="C31" s="106"/>
      <c r="D31" s="103" t="str">
        <f>D17</f>
        <v>COLOR</v>
      </c>
      <c r="E31" s="103"/>
      <c r="F31" s="103"/>
      <c r="G31" s="51" t="str">
        <f t="shared" ref="G31:L31" si="7">G18</f>
        <v>S</v>
      </c>
      <c r="H31" s="51" t="str">
        <f t="shared" si="7"/>
        <v>M</v>
      </c>
      <c r="I31" s="51" t="str">
        <f t="shared" si="7"/>
        <v>L</v>
      </c>
      <c r="J31" s="51" t="str">
        <f t="shared" si="7"/>
        <v>XL</v>
      </c>
      <c r="K31" s="51" t="str">
        <f t="shared" si="7"/>
        <v>XXL</v>
      </c>
      <c r="L31" s="51" t="str">
        <f t="shared" si="7"/>
        <v>3XL</v>
      </c>
      <c r="M31" s="103" t="s">
        <v>2</v>
      </c>
      <c r="N31" s="103"/>
      <c r="O31" s="81"/>
      <c r="P31" s="81"/>
      <c r="S31" s="81"/>
      <c r="T31" s="81"/>
      <c r="U31" s="81"/>
      <c r="V31" s="81"/>
    </row>
    <row r="32" spans="1:23" s="7" customFormat="1" ht="24.95" customHeight="1">
      <c r="A32" s="119" t="s">
        <v>12</v>
      </c>
      <c r="B32" s="119"/>
      <c r="C32" s="119"/>
      <c r="D32" s="120" t="str">
        <f>D19</f>
        <v>Black</v>
      </c>
      <c r="E32" s="121"/>
      <c r="F32" s="121"/>
      <c r="G32" s="77">
        <v>360</v>
      </c>
      <c r="H32" s="77">
        <v>400</v>
      </c>
      <c r="I32" s="77">
        <v>400</v>
      </c>
      <c r="J32" s="77">
        <v>400</v>
      </c>
      <c r="K32" s="77">
        <v>260</v>
      </c>
      <c r="L32" s="77"/>
      <c r="M32" s="122">
        <f>G32+H32+I32+J32+K32+L32</f>
        <v>1820</v>
      </c>
      <c r="N32" s="122"/>
      <c r="O32" s="22"/>
      <c r="P32" s="21"/>
      <c r="S32" s="81"/>
      <c r="T32" s="81"/>
      <c r="U32" s="81"/>
      <c r="V32" s="81"/>
    </row>
    <row r="33" spans="1:22" s="7" customFormat="1" ht="24.95" customHeight="1">
      <c r="A33" s="119" t="s">
        <v>30</v>
      </c>
      <c r="B33" s="119"/>
      <c r="C33" s="119"/>
      <c r="D33" s="121"/>
      <c r="E33" s="121"/>
      <c r="F33" s="121"/>
      <c r="G33" s="77">
        <f t="shared" ref="G33:K33" si="8">G27</f>
        <v>351</v>
      </c>
      <c r="H33" s="77">
        <f t="shared" si="8"/>
        <v>409</v>
      </c>
      <c r="I33" s="77">
        <f t="shared" si="8"/>
        <v>410</v>
      </c>
      <c r="J33" s="77">
        <f t="shared" si="8"/>
        <v>414</v>
      </c>
      <c r="K33" s="77">
        <f t="shared" si="8"/>
        <v>272</v>
      </c>
      <c r="L33" s="77"/>
      <c r="M33" s="122">
        <f>G33+H33+I33+J33+K33+L33</f>
        <v>1856</v>
      </c>
      <c r="N33" s="122"/>
      <c r="O33" s="22"/>
      <c r="P33" s="21"/>
      <c r="S33" s="81"/>
      <c r="T33" s="81"/>
      <c r="U33" s="81"/>
      <c r="V33" s="81"/>
    </row>
  </sheetData>
  <mergeCells count="40">
    <mergeCell ref="A32:C32"/>
    <mergeCell ref="D32:F33"/>
    <mergeCell ref="M32:N32"/>
    <mergeCell ref="A33:C33"/>
    <mergeCell ref="M33:N33"/>
    <mergeCell ref="A28:V28"/>
    <mergeCell ref="A29:L29"/>
    <mergeCell ref="P29:R29"/>
    <mergeCell ref="A30:V30"/>
    <mergeCell ref="A31:C31"/>
    <mergeCell ref="D31:F31"/>
    <mergeCell ref="M31:N31"/>
    <mergeCell ref="D19:F26"/>
    <mergeCell ref="P19:P26"/>
    <mergeCell ref="Q19:Q26"/>
    <mergeCell ref="R19:R26"/>
    <mergeCell ref="A27:F27"/>
    <mergeCell ref="P27:R27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90CDB-21F9-4985-8A19-AC708B7A3171}">
  <sheetPr>
    <tabColor rgb="FFFFC000"/>
    <pageSetUpPr fitToPage="1"/>
  </sheetPr>
  <dimension ref="A1:W32"/>
  <sheetViews>
    <sheetView showGridLines="0" view="pageBreakPreview" topLeftCell="A15" zoomScaleNormal="62" zoomScaleSheetLayoutView="100" workbookViewId="0">
      <selection activeCell="S28" sqref="S28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82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209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117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1550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M32</f>
        <v>1562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12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N28</f>
        <v>21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88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78" t="s">
        <v>22</v>
      </c>
      <c r="J18" s="78" t="s">
        <v>93</v>
      </c>
      <c r="K18" s="78" t="s">
        <v>94</v>
      </c>
      <c r="L18" s="78" t="s">
        <v>95</v>
      </c>
      <c r="M18" s="106"/>
      <c r="N18" s="106"/>
      <c r="O18" s="106"/>
      <c r="P18" s="80" t="s">
        <v>22</v>
      </c>
      <c r="Q18" s="80" t="s">
        <v>23</v>
      </c>
      <c r="R18" s="80" t="s">
        <v>24</v>
      </c>
      <c r="S18" s="79" t="s">
        <v>6</v>
      </c>
      <c r="T18" s="79" t="s">
        <v>7</v>
      </c>
      <c r="U18" s="79" t="s">
        <v>8</v>
      </c>
      <c r="V18" s="79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3</v>
      </c>
      <c r="D19" s="109" t="s">
        <v>210</v>
      </c>
      <c r="E19" s="109"/>
      <c r="F19" s="109"/>
      <c r="G19" s="17">
        <v>80</v>
      </c>
      <c r="H19" s="18"/>
      <c r="I19" s="18"/>
      <c r="J19" s="19"/>
      <c r="K19" s="19"/>
      <c r="L19" s="19"/>
      <c r="M19" s="18">
        <f t="shared" ref="M19:M25" si="0">SUM(G19:L19)</f>
        <v>80</v>
      </c>
      <c r="N19" s="20">
        <v>3</v>
      </c>
      <c r="O19" s="28">
        <f t="shared" ref="O19:O25" si="1">M19*N19</f>
        <v>240</v>
      </c>
      <c r="P19" s="110">
        <v>55</v>
      </c>
      <c r="Q19" s="110">
        <v>28</v>
      </c>
      <c r="R19" s="111">
        <v>28</v>
      </c>
      <c r="S19" s="39">
        <v>8.4</v>
      </c>
      <c r="T19" s="39">
        <f>S19+1</f>
        <v>9.4</v>
      </c>
      <c r="U19" s="39">
        <f t="shared" ref="U19:U25" si="2">S19*N19</f>
        <v>25.200000000000003</v>
      </c>
      <c r="V19" s="39">
        <f t="shared" ref="V19:V25" si="3">T19*N19</f>
        <v>28.200000000000003</v>
      </c>
      <c r="W19" s="3"/>
    </row>
    <row r="20" spans="1:23" s="4" customFormat="1" ht="18" customHeight="1">
      <c r="A20" s="25">
        <f>C19+1</f>
        <v>4</v>
      </c>
      <c r="B20" s="26" t="s">
        <v>25</v>
      </c>
      <c r="C20" s="25">
        <f>C19+N20</f>
        <v>8</v>
      </c>
      <c r="D20" s="109"/>
      <c r="E20" s="109"/>
      <c r="F20" s="109"/>
      <c r="G20" s="17"/>
      <c r="H20" s="18">
        <v>80</v>
      </c>
      <c r="I20" s="18"/>
      <c r="J20" s="19"/>
      <c r="K20" s="19"/>
      <c r="L20" s="19"/>
      <c r="M20" s="18">
        <f t="shared" si="0"/>
        <v>80</v>
      </c>
      <c r="N20" s="20">
        <v>5</v>
      </c>
      <c r="O20" s="28">
        <f t="shared" si="1"/>
        <v>400</v>
      </c>
      <c r="P20" s="110"/>
      <c r="Q20" s="110"/>
      <c r="R20" s="111"/>
      <c r="S20" s="39">
        <v>8.9</v>
      </c>
      <c r="T20" s="39">
        <f t="shared" ref="T20:T25" si="4">S20+1</f>
        <v>9.9</v>
      </c>
      <c r="U20" s="39">
        <f t="shared" si="2"/>
        <v>44.5</v>
      </c>
      <c r="V20" s="39">
        <f t="shared" si="3"/>
        <v>49.5</v>
      </c>
      <c r="W20" s="3"/>
    </row>
    <row r="21" spans="1:23" s="4" customFormat="1" ht="18" customHeight="1">
      <c r="A21" s="25">
        <f t="shared" ref="A21:A25" si="5">C20+1</f>
        <v>9</v>
      </c>
      <c r="B21" s="26" t="s">
        <v>25</v>
      </c>
      <c r="C21" s="25">
        <f>C20+N21</f>
        <v>12</v>
      </c>
      <c r="D21" s="109"/>
      <c r="E21" s="109"/>
      <c r="F21" s="109"/>
      <c r="G21" s="17"/>
      <c r="H21" s="18"/>
      <c r="I21" s="18">
        <v>75</v>
      </c>
      <c r="J21" s="19"/>
      <c r="K21" s="19"/>
      <c r="L21" s="19"/>
      <c r="M21" s="18">
        <f t="shared" si="0"/>
        <v>75</v>
      </c>
      <c r="N21" s="20">
        <v>4</v>
      </c>
      <c r="O21" s="28">
        <f t="shared" si="1"/>
        <v>300</v>
      </c>
      <c r="P21" s="110"/>
      <c r="Q21" s="110"/>
      <c r="R21" s="111"/>
      <c r="S21" s="39">
        <v>9.3000000000000007</v>
      </c>
      <c r="T21" s="39">
        <f t="shared" si="4"/>
        <v>10.3</v>
      </c>
      <c r="U21" s="39">
        <f t="shared" si="2"/>
        <v>37.200000000000003</v>
      </c>
      <c r="V21" s="39">
        <f t="shared" si="3"/>
        <v>41.2</v>
      </c>
      <c r="W21" s="3"/>
    </row>
    <row r="22" spans="1:23" s="4" customFormat="1" ht="18" customHeight="1">
      <c r="A22" s="25">
        <f t="shared" si="5"/>
        <v>13</v>
      </c>
      <c r="B22" s="26" t="s">
        <v>25</v>
      </c>
      <c r="C22" s="25">
        <f>C21+N22</f>
        <v>15</v>
      </c>
      <c r="D22" s="109"/>
      <c r="E22" s="109"/>
      <c r="F22" s="109"/>
      <c r="G22" s="17"/>
      <c r="H22" s="18"/>
      <c r="I22" s="18"/>
      <c r="J22" s="19">
        <v>75</v>
      </c>
      <c r="K22" s="19"/>
      <c r="L22" s="19"/>
      <c r="M22" s="18">
        <f t="shared" si="0"/>
        <v>75</v>
      </c>
      <c r="N22" s="20">
        <v>3</v>
      </c>
      <c r="O22" s="28">
        <f t="shared" si="1"/>
        <v>225</v>
      </c>
      <c r="P22" s="110"/>
      <c r="Q22" s="110"/>
      <c r="R22" s="111"/>
      <c r="S22" s="39">
        <v>10</v>
      </c>
      <c r="T22" s="39">
        <f t="shared" si="4"/>
        <v>11</v>
      </c>
      <c r="U22" s="39">
        <f t="shared" si="2"/>
        <v>30</v>
      </c>
      <c r="V22" s="39">
        <f t="shared" si="3"/>
        <v>33</v>
      </c>
      <c r="W22" s="3"/>
    </row>
    <row r="23" spans="1:23" s="4" customFormat="1" ht="18" customHeight="1">
      <c r="A23" s="25">
        <f t="shared" si="5"/>
        <v>16</v>
      </c>
      <c r="B23" s="26" t="s">
        <v>25</v>
      </c>
      <c r="C23" s="25">
        <f>C22+N23</f>
        <v>19</v>
      </c>
      <c r="D23" s="109"/>
      <c r="E23" s="109"/>
      <c r="F23" s="109"/>
      <c r="G23" s="17"/>
      <c r="H23" s="18"/>
      <c r="I23" s="18"/>
      <c r="J23" s="19"/>
      <c r="K23" s="19">
        <v>60</v>
      </c>
      <c r="L23" s="19"/>
      <c r="M23" s="18">
        <f t="shared" si="0"/>
        <v>60</v>
      </c>
      <c r="N23" s="20">
        <v>4</v>
      </c>
      <c r="O23" s="28">
        <f t="shared" si="1"/>
        <v>240</v>
      </c>
      <c r="P23" s="110"/>
      <c r="Q23" s="110"/>
      <c r="R23" s="111"/>
      <c r="S23" s="39">
        <v>8.6</v>
      </c>
      <c r="T23" s="39">
        <f t="shared" si="4"/>
        <v>9.6</v>
      </c>
      <c r="U23" s="39">
        <f t="shared" si="2"/>
        <v>34.4</v>
      </c>
      <c r="V23" s="39">
        <f t="shared" si="3"/>
        <v>38.4</v>
      </c>
      <c r="W23" s="3"/>
    </row>
    <row r="24" spans="1:23" s="4" customFormat="1" ht="18" customHeight="1">
      <c r="A24" s="25">
        <f t="shared" si="5"/>
        <v>20</v>
      </c>
      <c r="B24" s="26" t="s">
        <v>25</v>
      </c>
      <c r="C24" s="25">
        <f t="shared" ref="C24:C25" si="6">C23+N24</f>
        <v>20</v>
      </c>
      <c r="D24" s="109"/>
      <c r="E24" s="109"/>
      <c r="F24" s="109"/>
      <c r="G24" s="17">
        <v>64</v>
      </c>
      <c r="H24" s="18"/>
      <c r="I24" s="18"/>
      <c r="J24" s="19"/>
      <c r="K24" s="19">
        <v>16</v>
      </c>
      <c r="L24" s="19"/>
      <c r="M24" s="18">
        <f t="shared" si="0"/>
        <v>80</v>
      </c>
      <c r="N24" s="20">
        <v>1</v>
      </c>
      <c r="O24" s="28">
        <f t="shared" si="1"/>
        <v>80</v>
      </c>
      <c r="P24" s="110"/>
      <c r="Q24" s="110"/>
      <c r="R24" s="111"/>
      <c r="S24" s="39">
        <v>8.8000000000000007</v>
      </c>
      <c r="T24" s="39">
        <f t="shared" si="4"/>
        <v>9.8000000000000007</v>
      </c>
      <c r="U24" s="39">
        <f t="shared" si="2"/>
        <v>8.8000000000000007</v>
      </c>
      <c r="V24" s="39">
        <f t="shared" si="3"/>
        <v>9.8000000000000007</v>
      </c>
      <c r="W24" s="3"/>
    </row>
    <row r="25" spans="1:23" s="4" customFormat="1" ht="18" customHeight="1">
      <c r="A25" s="25">
        <f t="shared" si="5"/>
        <v>21</v>
      </c>
      <c r="B25" s="26" t="s">
        <v>25</v>
      </c>
      <c r="C25" s="25">
        <f t="shared" si="6"/>
        <v>21</v>
      </c>
      <c r="D25" s="109"/>
      <c r="E25" s="109"/>
      <c r="F25" s="109"/>
      <c r="G25" s="17"/>
      <c r="H25" s="18">
        <v>3</v>
      </c>
      <c r="I25" s="18">
        <v>6</v>
      </c>
      <c r="J25" s="19">
        <v>68</v>
      </c>
      <c r="K25" s="19"/>
      <c r="L25" s="19"/>
      <c r="M25" s="18">
        <f t="shared" si="0"/>
        <v>77</v>
      </c>
      <c r="N25" s="20">
        <v>1</v>
      </c>
      <c r="O25" s="28">
        <f t="shared" si="1"/>
        <v>77</v>
      </c>
      <c r="P25" s="110"/>
      <c r="Q25" s="110"/>
      <c r="R25" s="111"/>
      <c r="S25" s="39">
        <v>8.5</v>
      </c>
      <c r="T25" s="39">
        <f t="shared" si="4"/>
        <v>9.5</v>
      </c>
      <c r="U25" s="39">
        <f t="shared" si="2"/>
        <v>8.5</v>
      </c>
      <c r="V25" s="39">
        <f t="shared" si="3"/>
        <v>9.5</v>
      </c>
      <c r="W25" s="3"/>
    </row>
    <row r="26" spans="1:23" s="23" customFormat="1" ht="21.95" customHeight="1">
      <c r="A26" s="112" t="s">
        <v>2</v>
      </c>
      <c r="B26" s="112"/>
      <c r="C26" s="112"/>
      <c r="D26" s="112"/>
      <c r="E26" s="112"/>
      <c r="F26" s="112"/>
      <c r="G26" s="52">
        <f>O19+G24</f>
        <v>304</v>
      </c>
      <c r="H26" s="53">
        <f>O20+H25</f>
        <v>403</v>
      </c>
      <c r="I26" s="53">
        <f>O21+I25</f>
        <v>306</v>
      </c>
      <c r="J26" s="53">
        <f>O22+J25</f>
        <v>293</v>
      </c>
      <c r="K26" s="53">
        <f>O23+K24</f>
        <v>256</v>
      </c>
      <c r="L26" s="53"/>
      <c r="M26" s="54"/>
      <c r="N26" s="55">
        <f>SUM(N19:N25)</f>
        <v>21</v>
      </c>
      <c r="O26" s="56">
        <f>SUM(O19:O25)</f>
        <v>1562</v>
      </c>
      <c r="P26" s="113">
        <f>(P19*Q19*R19)/1000000*N26</f>
        <v>0.90551999999999999</v>
      </c>
      <c r="Q26" s="113"/>
      <c r="R26" s="113"/>
      <c r="S26" s="57"/>
      <c r="T26" s="58"/>
      <c r="U26" s="59">
        <f>SUM(U19:U25)</f>
        <v>188.60000000000002</v>
      </c>
      <c r="V26" s="59">
        <f>SUM(V19:V25)</f>
        <v>209.60000000000002</v>
      </c>
    </row>
    <row r="27" spans="1:23" ht="15" customHeight="1">
      <c r="A27" s="114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6"/>
      <c r="W27" s="2"/>
    </row>
    <row r="28" spans="1:23" s="6" customFormat="1" ht="15" customHeight="1">
      <c r="A28" s="103" t="s">
        <v>5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46"/>
      <c r="N28" s="47">
        <f>N26</f>
        <v>21</v>
      </c>
      <c r="O28" s="48">
        <f>O26</f>
        <v>1562</v>
      </c>
      <c r="P28" s="117">
        <f>P26</f>
        <v>0.90551999999999999</v>
      </c>
      <c r="Q28" s="117"/>
      <c r="R28" s="117"/>
      <c r="S28" s="49"/>
      <c r="T28" s="49"/>
      <c r="U28" s="50">
        <f>U26</f>
        <v>188.60000000000002</v>
      </c>
      <c r="V28" s="50">
        <f>V26</f>
        <v>209.60000000000002</v>
      </c>
      <c r="W28" s="5"/>
    </row>
    <row r="29" spans="1:23" ht="15" customHeight="1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</row>
    <row r="30" spans="1:23" s="7" customFormat="1" ht="30" customHeight="1">
      <c r="A30" s="106" t="s">
        <v>10</v>
      </c>
      <c r="B30" s="106"/>
      <c r="C30" s="106"/>
      <c r="D30" s="103" t="str">
        <f>D17</f>
        <v>COLOR</v>
      </c>
      <c r="E30" s="103"/>
      <c r="F30" s="103"/>
      <c r="G30" s="51" t="str">
        <f t="shared" ref="G30:L30" si="7">G18</f>
        <v>S</v>
      </c>
      <c r="H30" s="51" t="str">
        <f t="shared" si="7"/>
        <v>M</v>
      </c>
      <c r="I30" s="51" t="str">
        <f t="shared" si="7"/>
        <v>L</v>
      </c>
      <c r="J30" s="51" t="str">
        <f t="shared" si="7"/>
        <v>XL</v>
      </c>
      <c r="K30" s="51" t="str">
        <f t="shared" si="7"/>
        <v>XXL</v>
      </c>
      <c r="L30" s="51" t="str">
        <f t="shared" si="7"/>
        <v>3XL</v>
      </c>
      <c r="M30" s="103" t="s">
        <v>2</v>
      </c>
      <c r="N30" s="103"/>
      <c r="O30" s="81"/>
      <c r="P30" s="81"/>
      <c r="S30" s="81"/>
      <c r="T30" s="81"/>
      <c r="U30" s="81"/>
      <c r="V30" s="81"/>
    </row>
    <row r="31" spans="1:23" s="7" customFormat="1" ht="24.95" customHeight="1">
      <c r="A31" s="119" t="s">
        <v>12</v>
      </c>
      <c r="B31" s="119"/>
      <c r="C31" s="119"/>
      <c r="D31" s="120" t="str">
        <f>D19</f>
        <v>Peach</v>
      </c>
      <c r="E31" s="121"/>
      <c r="F31" s="121"/>
      <c r="G31" s="77">
        <v>300</v>
      </c>
      <c r="H31" s="77">
        <v>400</v>
      </c>
      <c r="I31" s="77">
        <v>300</v>
      </c>
      <c r="J31" s="77">
        <v>300</v>
      </c>
      <c r="K31" s="77">
        <v>250</v>
      </c>
      <c r="L31" s="77"/>
      <c r="M31" s="122">
        <f>G31+H31+I31+J31+K31+L31</f>
        <v>1550</v>
      </c>
      <c r="N31" s="122"/>
      <c r="O31" s="22"/>
      <c r="P31" s="21"/>
      <c r="S31" s="81"/>
      <c r="T31" s="81"/>
      <c r="U31" s="81"/>
      <c r="V31" s="81"/>
    </row>
    <row r="32" spans="1:23" s="7" customFormat="1" ht="24.95" customHeight="1">
      <c r="A32" s="119" t="s">
        <v>30</v>
      </c>
      <c r="B32" s="119"/>
      <c r="C32" s="119"/>
      <c r="D32" s="121"/>
      <c r="E32" s="121"/>
      <c r="F32" s="121"/>
      <c r="G32" s="77">
        <f t="shared" ref="G32:K32" si="8">G26</f>
        <v>304</v>
      </c>
      <c r="H32" s="77">
        <f t="shared" si="8"/>
        <v>403</v>
      </c>
      <c r="I32" s="77">
        <f t="shared" si="8"/>
        <v>306</v>
      </c>
      <c r="J32" s="77">
        <f t="shared" si="8"/>
        <v>293</v>
      </c>
      <c r="K32" s="77">
        <f t="shared" si="8"/>
        <v>256</v>
      </c>
      <c r="L32" s="77"/>
      <c r="M32" s="122">
        <f>G32+H32+I32+J32+K32+L32</f>
        <v>1562</v>
      </c>
      <c r="N32" s="122"/>
      <c r="O32" s="22"/>
      <c r="P32" s="21"/>
      <c r="S32" s="81"/>
      <c r="T32" s="81"/>
      <c r="U32" s="81"/>
      <c r="V32" s="81"/>
    </row>
  </sheetData>
  <mergeCells count="40">
    <mergeCell ref="A31:C31"/>
    <mergeCell ref="D31:F32"/>
    <mergeCell ref="M31:N31"/>
    <mergeCell ref="A32:C32"/>
    <mergeCell ref="M32:N32"/>
    <mergeCell ref="A27:V27"/>
    <mergeCell ref="A28:L28"/>
    <mergeCell ref="P28:R28"/>
    <mergeCell ref="A29:V29"/>
    <mergeCell ref="A30:C30"/>
    <mergeCell ref="D30:F30"/>
    <mergeCell ref="M30:N30"/>
    <mergeCell ref="D19:F25"/>
    <mergeCell ref="P19:P25"/>
    <mergeCell ref="Q19:Q25"/>
    <mergeCell ref="R19:R25"/>
    <mergeCell ref="A26:F26"/>
    <mergeCell ref="P26:R26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1F0DA-BFBA-405F-A5C7-CE0E10DC17BA}">
  <sheetPr>
    <tabColor rgb="FFFF5050"/>
    <pageSetUpPr fitToPage="1"/>
  </sheetPr>
  <dimension ref="A1:W32"/>
  <sheetViews>
    <sheetView showGridLines="0" view="pageBreakPreview" topLeftCell="A15" zoomScaleNormal="62" zoomScaleSheetLayoutView="100" workbookViewId="0">
      <selection activeCell="A27" sqref="A27:V27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82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211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212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1600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M32</f>
        <v>1631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31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N28</f>
        <v>24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88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78" t="s">
        <v>22</v>
      </c>
      <c r="J18" s="78" t="s">
        <v>93</v>
      </c>
      <c r="K18" s="78" t="s">
        <v>94</v>
      </c>
      <c r="L18" s="78" t="s">
        <v>95</v>
      </c>
      <c r="M18" s="106"/>
      <c r="N18" s="106"/>
      <c r="O18" s="106"/>
      <c r="P18" s="80" t="s">
        <v>22</v>
      </c>
      <c r="Q18" s="80" t="s">
        <v>23</v>
      </c>
      <c r="R18" s="80" t="s">
        <v>24</v>
      </c>
      <c r="S18" s="79" t="s">
        <v>6</v>
      </c>
      <c r="T18" s="79" t="s">
        <v>7</v>
      </c>
      <c r="U18" s="79" t="s">
        <v>8</v>
      </c>
      <c r="V18" s="79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2</v>
      </c>
      <c r="D19" s="109" t="s">
        <v>99</v>
      </c>
      <c r="E19" s="109"/>
      <c r="F19" s="109"/>
      <c r="G19" s="17">
        <v>80</v>
      </c>
      <c r="H19" s="18"/>
      <c r="I19" s="18"/>
      <c r="J19" s="19"/>
      <c r="K19" s="19"/>
      <c r="L19" s="19"/>
      <c r="M19" s="18">
        <f t="shared" ref="M19:M25" si="0">SUM(G19:L19)</f>
        <v>80</v>
      </c>
      <c r="N19" s="20">
        <v>2</v>
      </c>
      <c r="O19" s="28">
        <f t="shared" ref="O19:O25" si="1">M19*N19</f>
        <v>160</v>
      </c>
      <c r="P19" s="110">
        <v>55</v>
      </c>
      <c r="Q19" s="110">
        <v>28</v>
      </c>
      <c r="R19" s="111">
        <v>28</v>
      </c>
      <c r="S19" s="39">
        <v>9.4</v>
      </c>
      <c r="T19" s="39">
        <f>S19+1</f>
        <v>10.4</v>
      </c>
      <c r="U19" s="39">
        <f t="shared" ref="U19:U25" si="2">S19*N19</f>
        <v>18.8</v>
      </c>
      <c r="V19" s="39">
        <f t="shared" ref="V19:V25" si="3">T19*N19</f>
        <v>20.8</v>
      </c>
      <c r="W19" s="3"/>
    </row>
    <row r="20" spans="1:23" s="4" customFormat="1" ht="18" customHeight="1">
      <c r="A20" s="25">
        <f>C19+1</f>
        <v>3</v>
      </c>
      <c r="B20" s="26" t="s">
        <v>25</v>
      </c>
      <c r="C20" s="25">
        <f>C19+N20</f>
        <v>6</v>
      </c>
      <c r="D20" s="109"/>
      <c r="E20" s="109"/>
      <c r="F20" s="109"/>
      <c r="G20" s="17"/>
      <c r="H20" s="18">
        <v>75</v>
      </c>
      <c r="I20" s="18"/>
      <c r="J20" s="19"/>
      <c r="K20" s="19"/>
      <c r="L20" s="19"/>
      <c r="M20" s="18">
        <f t="shared" si="0"/>
        <v>75</v>
      </c>
      <c r="N20" s="20">
        <v>4</v>
      </c>
      <c r="O20" s="28">
        <f t="shared" si="1"/>
        <v>300</v>
      </c>
      <c r="P20" s="110"/>
      <c r="Q20" s="110"/>
      <c r="R20" s="111"/>
      <c r="S20" s="39">
        <v>9.5</v>
      </c>
      <c r="T20" s="39">
        <f t="shared" ref="T20:T25" si="4">S20+1</f>
        <v>10.5</v>
      </c>
      <c r="U20" s="39">
        <f t="shared" si="2"/>
        <v>38</v>
      </c>
      <c r="V20" s="39">
        <f t="shared" si="3"/>
        <v>42</v>
      </c>
      <c r="W20" s="3"/>
    </row>
    <row r="21" spans="1:23" s="4" customFormat="1" ht="18" customHeight="1">
      <c r="A21" s="25">
        <f t="shared" ref="A21:A25" si="5">C20+1</f>
        <v>7</v>
      </c>
      <c r="B21" s="26" t="s">
        <v>25</v>
      </c>
      <c r="C21" s="25">
        <f>C20+N21</f>
        <v>13</v>
      </c>
      <c r="D21" s="109"/>
      <c r="E21" s="109"/>
      <c r="F21" s="109"/>
      <c r="G21" s="17"/>
      <c r="H21" s="18"/>
      <c r="I21" s="18">
        <v>70</v>
      </c>
      <c r="J21" s="19"/>
      <c r="K21" s="19"/>
      <c r="L21" s="19"/>
      <c r="M21" s="18">
        <f t="shared" si="0"/>
        <v>70</v>
      </c>
      <c r="N21" s="20">
        <v>7</v>
      </c>
      <c r="O21" s="28">
        <f t="shared" si="1"/>
        <v>490</v>
      </c>
      <c r="P21" s="110"/>
      <c r="Q21" s="110"/>
      <c r="R21" s="111"/>
      <c r="S21" s="39">
        <v>9.6</v>
      </c>
      <c r="T21" s="39">
        <f t="shared" si="4"/>
        <v>10.6</v>
      </c>
      <c r="U21" s="39">
        <f t="shared" si="2"/>
        <v>67.2</v>
      </c>
      <c r="V21" s="39">
        <f t="shared" si="3"/>
        <v>74.2</v>
      </c>
      <c r="W21" s="3"/>
    </row>
    <row r="22" spans="1:23" s="4" customFormat="1" ht="18" customHeight="1">
      <c r="A22" s="25">
        <f t="shared" si="5"/>
        <v>14</v>
      </c>
      <c r="B22" s="26" t="s">
        <v>25</v>
      </c>
      <c r="C22" s="25">
        <f>C21+N22</f>
        <v>17</v>
      </c>
      <c r="D22" s="109"/>
      <c r="E22" s="109"/>
      <c r="F22" s="109"/>
      <c r="G22" s="17"/>
      <c r="H22" s="18"/>
      <c r="I22" s="18"/>
      <c r="J22" s="19">
        <v>65</v>
      </c>
      <c r="K22" s="19"/>
      <c r="L22" s="19"/>
      <c r="M22" s="18">
        <f t="shared" si="0"/>
        <v>65</v>
      </c>
      <c r="N22" s="20">
        <v>4</v>
      </c>
      <c r="O22" s="28">
        <f t="shared" si="1"/>
        <v>260</v>
      </c>
      <c r="P22" s="110"/>
      <c r="Q22" s="110"/>
      <c r="R22" s="111"/>
      <c r="S22" s="39">
        <v>9.9</v>
      </c>
      <c r="T22" s="39">
        <f t="shared" si="4"/>
        <v>10.9</v>
      </c>
      <c r="U22" s="39">
        <f t="shared" si="2"/>
        <v>39.6</v>
      </c>
      <c r="V22" s="39">
        <f t="shared" si="3"/>
        <v>43.6</v>
      </c>
      <c r="W22" s="3"/>
    </row>
    <row r="23" spans="1:23" s="4" customFormat="1" ht="18" customHeight="1">
      <c r="A23" s="25">
        <f t="shared" si="5"/>
        <v>18</v>
      </c>
      <c r="B23" s="26" t="s">
        <v>25</v>
      </c>
      <c r="C23" s="25">
        <f>C22+N23</f>
        <v>22</v>
      </c>
      <c r="D23" s="109"/>
      <c r="E23" s="109"/>
      <c r="F23" s="109"/>
      <c r="G23" s="17"/>
      <c r="H23" s="18"/>
      <c r="I23" s="18"/>
      <c r="J23" s="19"/>
      <c r="K23" s="19">
        <v>60</v>
      </c>
      <c r="L23" s="19"/>
      <c r="M23" s="18">
        <f t="shared" si="0"/>
        <v>60</v>
      </c>
      <c r="N23" s="20">
        <v>5</v>
      </c>
      <c r="O23" s="28">
        <f t="shared" si="1"/>
        <v>300</v>
      </c>
      <c r="P23" s="110"/>
      <c r="Q23" s="110"/>
      <c r="R23" s="111"/>
      <c r="S23" s="39">
        <v>9.5</v>
      </c>
      <c r="T23" s="39">
        <f t="shared" si="4"/>
        <v>10.5</v>
      </c>
      <c r="U23" s="39">
        <f t="shared" si="2"/>
        <v>47.5</v>
      </c>
      <c r="V23" s="39">
        <f t="shared" si="3"/>
        <v>52.5</v>
      </c>
      <c r="W23" s="3"/>
    </row>
    <row r="24" spans="1:23" s="4" customFormat="1" ht="18" customHeight="1">
      <c r="A24" s="25">
        <f t="shared" si="5"/>
        <v>23</v>
      </c>
      <c r="B24" s="26" t="s">
        <v>25</v>
      </c>
      <c r="C24" s="25">
        <f t="shared" ref="C24:C25" si="6">C23+N24</f>
        <v>23</v>
      </c>
      <c r="D24" s="109"/>
      <c r="E24" s="109"/>
      <c r="F24" s="109"/>
      <c r="G24" s="17">
        <v>45</v>
      </c>
      <c r="H24" s="18"/>
      <c r="I24" s="18">
        <v>14</v>
      </c>
      <c r="J24" s="19"/>
      <c r="K24" s="19"/>
      <c r="L24" s="19"/>
      <c r="M24" s="18">
        <f t="shared" si="0"/>
        <v>59</v>
      </c>
      <c r="N24" s="20">
        <v>1</v>
      </c>
      <c r="O24" s="28">
        <f t="shared" si="1"/>
        <v>59</v>
      </c>
      <c r="P24" s="110"/>
      <c r="Q24" s="110"/>
      <c r="R24" s="111"/>
      <c r="S24" s="39">
        <v>8.6</v>
      </c>
      <c r="T24" s="39">
        <f t="shared" si="4"/>
        <v>9.6</v>
      </c>
      <c r="U24" s="39">
        <f t="shared" si="2"/>
        <v>8.6</v>
      </c>
      <c r="V24" s="39">
        <f t="shared" si="3"/>
        <v>9.6</v>
      </c>
      <c r="W24" s="3"/>
    </row>
    <row r="25" spans="1:23" s="4" customFormat="1" ht="18" customHeight="1">
      <c r="A25" s="25">
        <f t="shared" si="5"/>
        <v>24</v>
      </c>
      <c r="B25" s="26" t="s">
        <v>25</v>
      </c>
      <c r="C25" s="25">
        <f t="shared" si="6"/>
        <v>24</v>
      </c>
      <c r="D25" s="109"/>
      <c r="E25" s="109"/>
      <c r="F25" s="109"/>
      <c r="G25" s="17"/>
      <c r="H25" s="18">
        <v>8</v>
      </c>
      <c r="I25" s="18"/>
      <c r="J25" s="19">
        <v>47</v>
      </c>
      <c r="K25" s="19">
        <v>7</v>
      </c>
      <c r="L25" s="19"/>
      <c r="M25" s="18">
        <f t="shared" si="0"/>
        <v>62</v>
      </c>
      <c r="N25" s="20">
        <v>1</v>
      </c>
      <c r="O25" s="28">
        <f t="shared" si="1"/>
        <v>62</v>
      </c>
      <c r="P25" s="110"/>
      <c r="Q25" s="110"/>
      <c r="R25" s="111"/>
      <c r="S25" s="39">
        <v>9.1999999999999993</v>
      </c>
      <c r="T25" s="39">
        <f t="shared" si="4"/>
        <v>10.199999999999999</v>
      </c>
      <c r="U25" s="39">
        <f t="shared" si="2"/>
        <v>9.1999999999999993</v>
      </c>
      <c r="V25" s="39">
        <f t="shared" si="3"/>
        <v>10.199999999999999</v>
      </c>
      <c r="W25" s="3"/>
    </row>
    <row r="26" spans="1:23" s="23" customFormat="1" ht="21.95" customHeight="1">
      <c r="A26" s="112" t="s">
        <v>2</v>
      </c>
      <c r="B26" s="112"/>
      <c r="C26" s="112"/>
      <c r="D26" s="112"/>
      <c r="E26" s="112"/>
      <c r="F26" s="112"/>
      <c r="G26" s="52">
        <f>O19+G24</f>
        <v>205</v>
      </c>
      <c r="H26" s="53">
        <f>O20+H25</f>
        <v>308</v>
      </c>
      <c r="I26" s="53">
        <f>O21+I24</f>
        <v>504</v>
      </c>
      <c r="J26" s="53">
        <f>O22+J25</f>
        <v>307</v>
      </c>
      <c r="K26" s="53">
        <f>O23+K25</f>
        <v>307</v>
      </c>
      <c r="L26" s="53"/>
      <c r="M26" s="54"/>
      <c r="N26" s="55">
        <f>SUM(N19:N25)</f>
        <v>24</v>
      </c>
      <c r="O26" s="56">
        <f>SUM(O19:O25)</f>
        <v>1631</v>
      </c>
      <c r="P26" s="113">
        <f>(P19*Q19*R19)/1000000*N26</f>
        <v>1.03488</v>
      </c>
      <c r="Q26" s="113"/>
      <c r="R26" s="113"/>
      <c r="S26" s="57"/>
      <c r="T26" s="58"/>
      <c r="U26" s="59">
        <f>SUM(U19:U25)</f>
        <v>228.89999999999998</v>
      </c>
      <c r="V26" s="59">
        <f>SUM(V19:V25)</f>
        <v>252.89999999999998</v>
      </c>
    </row>
    <row r="27" spans="1:23" ht="15" customHeight="1">
      <c r="A27" s="114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6"/>
      <c r="W27" s="2"/>
    </row>
    <row r="28" spans="1:23" s="6" customFormat="1" ht="15" customHeight="1">
      <c r="A28" s="103" t="s">
        <v>5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46"/>
      <c r="N28" s="47">
        <f>N26</f>
        <v>24</v>
      </c>
      <c r="O28" s="48">
        <f>O26</f>
        <v>1631</v>
      </c>
      <c r="P28" s="117">
        <f>P26</f>
        <v>1.03488</v>
      </c>
      <c r="Q28" s="117"/>
      <c r="R28" s="117"/>
      <c r="S28" s="49"/>
      <c r="T28" s="49"/>
      <c r="U28" s="50">
        <f>U26</f>
        <v>228.89999999999998</v>
      </c>
      <c r="V28" s="50">
        <f>V26</f>
        <v>252.89999999999998</v>
      </c>
      <c r="W28" s="5"/>
    </row>
    <row r="29" spans="1:23" ht="15" customHeight="1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</row>
    <row r="30" spans="1:23" s="7" customFormat="1" ht="30" customHeight="1">
      <c r="A30" s="106" t="s">
        <v>10</v>
      </c>
      <c r="B30" s="106"/>
      <c r="C30" s="106"/>
      <c r="D30" s="103" t="str">
        <f>D17</f>
        <v>COLOR</v>
      </c>
      <c r="E30" s="103"/>
      <c r="F30" s="103"/>
      <c r="G30" s="51" t="str">
        <f t="shared" ref="G30:L30" si="7">G18</f>
        <v>S</v>
      </c>
      <c r="H30" s="51" t="str">
        <f t="shared" si="7"/>
        <v>M</v>
      </c>
      <c r="I30" s="51" t="str">
        <f t="shared" si="7"/>
        <v>L</v>
      </c>
      <c r="J30" s="51" t="str">
        <f t="shared" si="7"/>
        <v>XL</v>
      </c>
      <c r="K30" s="51" t="str">
        <f t="shared" si="7"/>
        <v>XXL</v>
      </c>
      <c r="L30" s="51" t="str">
        <f t="shared" si="7"/>
        <v>3XL</v>
      </c>
      <c r="M30" s="103" t="s">
        <v>2</v>
      </c>
      <c r="N30" s="103"/>
      <c r="O30" s="81"/>
      <c r="P30" s="81"/>
      <c r="S30" s="81"/>
      <c r="T30" s="81"/>
      <c r="U30" s="81"/>
      <c r="V30" s="81"/>
    </row>
    <row r="31" spans="1:23" s="7" customFormat="1" ht="24.95" customHeight="1">
      <c r="A31" s="119" t="s">
        <v>12</v>
      </c>
      <c r="B31" s="119"/>
      <c r="C31" s="119"/>
      <c r="D31" s="120" t="str">
        <f>D19</f>
        <v>Black</v>
      </c>
      <c r="E31" s="121"/>
      <c r="F31" s="121"/>
      <c r="G31" s="77">
        <v>200</v>
      </c>
      <c r="H31" s="77">
        <v>300</v>
      </c>
      <c r="I31" s="77">
        <v>500</v>
      </c>
      <c r="J31" s="77">
        <v>300</v>
      </c>
      <c r="K31" s="77">
        <v>300</v>
      </c>
      <c r="L31" s="77"/>
      <c r="M31" s="122">
        <f>G31+H31+I31+J31+K31+L31</f>
        <v>1600</v>
      </c>
      <c r="N31" s="122"/>
      <c r="O31" s="22"/>
      <c r="P31" s="21"/>
      <c r="S31" s="81"/>
      <c r="T31" s="81"/>
      <c r="U31" s="81"/>
      <c r="V31" s="81"/>
    </row>
    <row r="32" spans="1:23" s="7" customFormat="1" ht="24.95" customHeight="1">
      <c r="A32" s="119" t="s">
        <v>30</v>
      </c>
      <c r="B32" s="119"/>
      <c r="C32" s="119"/>
      <c r="D32" s="121"/>
      <c r="E32" s="121"/>
      <c r="F32" s="121"/>
      <c r="G32" s="77">
        <f t="shared" ref="G32:K32" si="8">G26</f>
        <v>205</v>
      </c>
      <c r="H32" s="77">
        <f t="shared" si="8"/>
        <v>308</v>
      </c>
      <c r="I32" s="77">
        <f t="shared" si="8"/>
        <v>504</v>
      </c>
      <c r="J32" s="77">
        <f t="shared" si="8"/>
        <v>307</v>
      </c>
      <c r="K32" s="77">
        <f t="shared" si="8"/>
        <v>307</v>
      </c>
      <c r="L32" s="77">
        <f>L26</f>
        <v>0</v>
      </c>
      <c r="M32" s="122">
        <f>G32+H32+I32+J32+K32+L32</f>
        <v>1631</v>
      </c>
      <c r="N32" s="122"/>
      <c r="O32" s="22"/>
      <c r="P32" s="21"/>
      <c r="S32" s="81"/>
      <c r="T32" s="81"/>
      <c r="U32" s="81"/>
      <c r="V32" s="81"/>
    </row>
  </sheetData>
  <mergeCells count="40">
    <mergeCell ref="A31:C31"/>
    <mergeCell ref="D31:F32"/>
    <mergeCell ref="M31:N31"/>
    <mergeCell ref="A32:C32"/>
    <mergeCell ref="M32:N32"/>
    <mergeCell ref="A27:V27"/>
    <mergeCell ref="A28:L28"/>
    <mergeCell ref="P28:R28"/>
    <mergeCell ref="A29:V29"/>
    <mergeCell ref="A30:C30"/>
    <mergeCell ref="D30:F30"/>
    <mergeCell ref="M30:N30"/>
    <mergeCell ref="D19:F25"/>
    <mergeCell ref="P19:P25"/>
    <mergeCell ref="Q19:Q25"/>
    <mergeCell ref="R19:R25"/>
    <mergeCell ref="A26:F26"/>
    <mergeCell ref="P26:R26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09B1E-39B7-4B4B-ABC9-567BD250646B}">
  <sheetPr>
    <tabColor rgb="FFC00000"/>
    <pageSetUpPr fitToPage="1"/>
  </sheetPr>
  <dimension ref="A1:W34"/>
  <sheetViews>
    <sheetView showGridLines="0" view="pageBreakPreview" topLeftCell="A18" zoomScaleNormal="62" zoomScaleSheetLayoutView="100" workbookViewId="0">
      <selection activeCell="A29" sqref="A29:V29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82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214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215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1430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M34</f>
        <v>1452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22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N30</f>
        <v>26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213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78" t="s">
        <v>22</v>
      </c>
      <c r="J18" s="78" t="s">
        <v>93</v>
      </c>
      <c r="K18" s="78" t="s">
        <v>94</v>
      </c>
      <c r="L18" s="78" t="s">
        <v>95</v>
      </c>
      <c r="M18" s="106"/>
      <c r="N18" s="106"/>
      <c r="O18" s="106"/>
      <c r="P18" s="80" t="s">
        <v>22</v>
      </c>
      <c r="Q18" s="80" t="s">
        <v>23</v>
      </c>
      <c r="R18" s="80" t="s">
        <v>24</v>
      </c>
      <c r="S18" s="79" t="s">
        <v>6</v>
      </c>
      <c r="T18" s="79" t="s">
        <v>7</v>
      </c>
      <c r="U18" s="79" t="s">
        <v>8</v>
      </c>
      <c r="V18" s="79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4</v>
      </c>
      <c r="D19" s="109" t="s">
        <v>201</v>
      </c>
      <c r="E19" s="109"/>
      <c r="F19" s="109"/>
      <c r="G19" s="17">
        <v>65</v>
      </c>
      <c r="H19" s="18"/>
      <c r="I19" s="18"/>
      <c r="J19" s="19"/>
      <c r="K19" s="19"/>
      <c r="L19" s="19"/>
      <c r="M19" s="18">
        <f t="shared" ref="M19:M27" si="0">SUM(G19:L19)</f>
        <v>65</v>
      </c>
      <c r="N19" s="20">
        <v>4</v>
      </c>
      <c r="O19" s="28">
        <f t="shared" ref="O19:O27" si="1">M19*N19</f>
        <v>260</v>
      </c>
      <c r="P19" s="110">
        <v>55</v>
      </c>
      <c r="Q19" s="110">
        <v>28</v>
      </c>
      <c r="R19" s="111">
        <v>28</v>
      </c>
      <c r="S19" s="39">
        <v>9.1999999999999993</v>
      </c>
      <c r="T19" s="39">
        <f>S19+1</f>
        <v>10.199999999999999</v>
      </c>
      <c r="U19" s="39">
        <f t="shared" ref="U19:U27" si="2">S19*N19</f>
        <v>36.799999999999997</v>
      </c>
      <c r="V19" s="39">
        <f t="shared" ref="V19:V27" si="3">T19*N19</f>
        <v>40.799999999999997</v>
      </c>
      <c r="W19" s="3"/>
    </row>
    <row r="20" spans="1:23" s="4" customFormat="1" ht="18" customHeight="1">
      <c r="A20" s="25">
        <f>C19+1</f>
        <v>5</v>
      </c>
      <c r="B20" s="26" t="s">
        <v>25</v>
      </c>
      <c r="C20" s="25">
        <f>C19+N20</f>
        <v>8</v>
      </c>
      <c r="D20" s="109"/>
      <c r="E20" s="109"/>
      <c r="F20" s="109"/>
      <c r="G20" s="17"/>
      <c r="H20" s="18">
        <v>60</v>
      </c>
      <c r="I20" s="18"/>
      <c r="J20" s="19"/>
      <c r="K20" s="19"/>
      <c r="L20" s="19"/>
      <c r="M20" s="18">
        <f t="shared" si="0"/>
        <v>60</v>
      </c>
      <c r="N20" s="20">
        <v>4</v>
      </c>
      <c r="O20" s="28">
        <f t="shared" si="1"/>
        <v>240</v>
      </c>
      <c r="P20" s="110"/>
      <c r="Q20" s="110"/>
      <c r="R20" s="111"/>
      <c r="S20" s="39">
        <v>9.3000000000000007</v>
      </c>
      <c r="T20" s="39">
        <f t="shared" ref="T20:T27" si="4">S20+1</f>
        <v>10.3</v>
      </c>
      <c r="U20" s="39">
        <f t="shared" si="2"/>
        <v>37.200000000000003</v>
      </c>
      <c r="V20" s="39">
        <f t="shared" si="3"/>
        <v>41.2</v>
      </c>
      <c r="W20" s="3"/>
    </row>
    <row r="21" spans="1:23" s="4" customFormat="1" ht="18" customHeight="1">
      <c r="A21" s="25">
        <f t="shared" ref="A21:A27" si="5">C20+1</f>
        <v>9</v>
      </c>
      <c r="B21" s="26" t="s">
        <v>25</v>
      </c>
      <c r="C21" s="25">
        <f>C20+N21</f>
        <v>13</v>
      </c>
      <c r="D21" s="109"/>
      <c r="E21" s="109"/>
      <c r="F21" s="109"/>
      <c r="G21" s="17"/>
      <c r="H21" s="18"/>
      <c r="I21" s="18">
        <v>60</v>
      </c>
      <c r="J21" s="19"/>
      <c r="K21" s="19"/>
      <c r="L21" s="19"/>
      <c r="M21" s="18">
        <f t="shared" si="0"/>
        <v>60</v>
      </c>
      <c r="N21" s="20">
        <v>5</v>
      </c>
      <c r="O21" s="28">
        <f t="shared" si="1"/>
        <v>300</v>
      </c>
      <c r="P21" s="110"/>
      <c r="Q21" s="110"/>
      <c r="R21" s="111"/>
      <c r="S21" s="39">
        <v>9.6999999999999993</v>
      </c>
      <c r="T21" s="39">
        <f t="shared" si="4"/>
        <v>10.7</v>
      </c>
      <c r="U21" s="39">
        <f t="shared" si="2"/>
        <v>48.5</v>
      </c>
      <c r="V21" s="39">
        <f t="shared" si="3"/>
        <v>53.5</v>
      </c>
      <c r="W21" s="3"/>
    </row>
    <row r="22" spans="1:23" s="4" customFormat="1" ht="18" customHeight="1">
      <c r="A22" s="25">
        <f t="shared" si="5"/>
        <v>14</v>
      </c>
      <c r="B22" s="26" t="s">
        <v>25</v>
      </c>
      <c r="C22" s="25">
        <f>C21+N22</f>
        <v>18</v>
      </c>
      <c r="D22" s="109"/>
      <c r="E22" s="109"/>
      <c r="F22" s="109"/>
      <c r="G22" s="17"/>
      <c r="H22" s="18"/>
      <c r="I22" s="18"/>
      <c r="J22" s="19">
        <v>55</v>
      </c>
      <c r="K22" s="19"/>
      <c r="L22" s="19"/>
      <c r="M22" s="18">
        <f t="shared" si="0"/>
        <v>55</v>
      </c>
      <c r="N22" s="20">
        <v>5</v>
      </c>
      <c r="O22" s="28">
        <f t="shared" si="1"/>
        <v>275</v>
      </c>
      <c r="P22" s="110"/>
      <c r="Q22" s="110"/>
      <c r="R22" s="111"/>
      <c r="S22" s="39">
        <v>9.6</v>
      </c>
      <c r="T22" s="39">
        <f t="shared" si="4"/>
        <v>10.6</v>
      </c>
      <c r="U22" s="39">
        <f t="shared" si="2"/>
        <v>48</v>
      </c>
      <c r="V22" s="39">
        <f t="shared" si="3"/>
        <v>53</v>
      </c>
      <c r="W22" s="3"/>
    </row>
    <row r="23" spans="1:23" s="4" customFormat="1" ht="18" customHeight="1">
      <c r="A23" s="25">
        <f t="shared" si="5"/>
        <v>19</v>
      </c>
      <c r="B23" s="26" t="s">
        <v>25</v>
      </c>
      <c r="C23" s="25">
        <f>C22+N23</f>
        <v>22</v>
      </c>
      <c r="D23" s="109"/>
      <c r="E23" s="109"/>
      <c r="F23" s="109"/>
      <c r="G23" s="17"/>
      <c r="H23" s="18"/>
      <c r="I23" s="18"/>
      <c r="J23" s="19"/>
      <c r="K23" s="19">
        <v>50</v>
      </c>
      <c r="L23" s="19"/>
      <c r="M23" s="18">
        <f t="shared" si="0"/>
        <v>50</v>
      </c>
      <c r="N23" s="20">
        <v>4</v>
      </c>
      <c r="O23" s="28">
        <f t="shared" si="1"/>
        <v>200</v>
      </c>
      <c r="P23" s="110"/>
      <c r="Q23" s="110"/>
      <c r="R23" s="111"/>
      <c r="S23" s="39">
        <v>9.5</v>
      </c>
      <c r="T23" s="39">
        <f t="shared" si="4"/>
        <v>10.5</v>
      </c>
      <c r="U23" s="39">
        <f t="shared" si="2"/>
        <v>38</v>
      </c>
      <c r="V23" s="39">
        <f t="shared" si="3"/>
        <v>42</v>
      </c>
      <c r="W23" s="3"/>
    </row>
    <row r="24" spans="1:23" s="4" customFormat="1" ht="18" customHeight="1">
      <c r="A24" s="25">
        <f t="shared" si="5"/>
        <v>23</v>
      </c>
      <c r="B24" s="26" t="s">
        <v>25</v>
      </c>
      <c r="C24" s="25">
        <f t="shared" ref="C24:C27" si="6">C23+N24</f>
        <v>23</v>
      </c>
      <c r="D24" s="109"/>
      <c r="E24" s="109"/>
      <c r="F24" s="109"/>
      <c r="G24" s="17">
        <v>44</v>
      </c>
      <c r="H24" s="18"/>
      <c r="I24" s="18">
        <v>7</v>
      </c>
      <c r="J24" s="19"/>
      <c r="K24" s="19"/>
      <c r="L24" s="19"/>
      <c r="M24" s="18">
        <f t="shared" si="0"/>
        <v>51</v>
      </c>
      <c r="N24" s="20">
        <v>1</v>
      </c>
      <c r="O24" s="28">
        <f t="shared" si="1"/>
        <v>51</v>
      </c>
      <c r="P24" s="110"/>
      <c r="Q24" s="110"/>
      <c r="R24" s="111"/>
      <c r="S24" s="39">
        <v>9</v>
      </c>
      <c r="T24" s="39">
        <f t="shared" si="4"/>
        <v>10</v>
      </c>
      <c r="U24" s="39">
        <f t="shared" si="2"/>
        <v>9</v>
      </c>
      <c r="V24" s="39">
        <f t="shared" si="3"/>
        <v>10</v>
      </c>
      <c r="W24" s="3"/>
    </row>
    <row r="25" spans="1:23" s="4" customFormat="1" ht="18" customHeight="1">
      <c r="A25" s="25">
        <f t="shared" si="5"/>
        <v>24</v>
      </c>
      <c r="B25" s="26" t="s">
        <v>25</v>
      </c>
      <c r="C25" s="25">
        <f t="shared" si="6"/>
        <v>24</v>
      </c>
      <c r="D25" s="109"/>
      <c r="E25" s="109"/>
      <c r="F25" s="109"/>
      <c r="G25" s="17"/>
      <c r="H25" s="18">
        <v>59</v>
      </c>
      <c r="I25" s="18"/>
      <c r="J25" s="19"/>
      <c r="K25" s="19"/>
      <c r="L25" s="19"/>
      <c r="M25" s="18">
        <f t="shared" si="0"/>
        <v>59</v>
      </c>
      <c r="N25" s="20">
        <v>1</v>
      </c>
      <c r="O25" s="28">
        <f t="shared" si="1"/>
        <v>59</v>
      </c>
      <c r="P25" s="110"/>
      <c r="Q25" s="110"/>
      <c r="R25" s="111"/>
      <c r="S25" s="39">
        <v>9.3000000000000007</v>
      </c>
      <c r="T25" s="39">
        <f t="shared" si="4"/>
        <v>10.3</v>
      </c>
      <c r="U25" s="39">
        <f t="shared" si="2"/>
        <v>9.3000000000000007</v>
      </c>
      <c r="V25" s="39">
        <f t="shared" si="3"/>
        <v>10.3</v>
      </c>
      <c r="W25" s="3"/>
    </row>
    <row r="26" spans="1:23" s="4" customFormat="1" ht="18" customHeight="1">
      <c r="A26" s="25">
        <f t="shared" si="5"/>
        <v>25</v>
      </c>
      <c r="B26" s="26" t="s">
        <v>25</v>
      </c>
      <c r="C26" s="25">
        <f t="shared" si="6"/>
        <v>25</v>
      </c>
      <c r="D26" s="109"/>
      <c r="E26" s="109"/>
      <c r="F26" s="109"/>
      <c r="G26" s="17"/>
      <c r="H26" s="18"/>
      <c r="I26" s="18"/>
      <c r="J26" s="19">
        <v>34</v>
      </c>
      <c r="K26" s="19"/>
      <c r="L26" s="19"/>
      <c r="M26" s="18">
        <f t="shared" si="0"/>
        <v>34</v>
      </c>
      <c r="N26" s="20">
        <v>1</v>
      </c>
      <c r="O26" s="28">
        <f t="shared" si="1"/>
        <v>34</v>
      </c>
      <c r="P26" s="110"/>
      <c r="Q26" s="110"/>
      <c r="R26" s="111"/>
      <c r="S26" s="39">
        <v>5</v>
      </c>
      <c r="T26" s="39">
        <f t="shared" si="4"/>
        <v>6</v>
      </c>
      <c r="U26" s="39">
        <f t="shared" si="2"/>
        <v>5</v>
      </c>
      <c r="V26" s="39">
        <f t="shared" si="3"/>
        <v>6</v>
      </c>
      <c r="W26" s="3"/>
    </row>
    <row r="27" spans="1:23" s="4" customFormat="1" ht="18" customHeight="1">
      <c r="A27" s="25">
        <f t="shared" si="5"/>
        <v>26</v>
      </c>
      <c r="B27" s="26" t="s">
        <v>25</v>
      </c>
      <c r="C27" s="25">
        <f t="shared" si="6"/>
        <v>26</v>
      </c>
      <c r="D27" s="109"/>
      <c r="E27" s="109"/>
      <c r="F27" s="109"/>
      <c r="G27" s="17"/>
      <c r="H27" s="18"/>
      <c r="I27" s="18"/>
      <c r="J27" s="19"/>
      <c r="K27" s="19">
        <v>33</v>
      </c>
      <c r="L27" s="19"/>
      <c r="M27" s="18">
        <f t="shared" si="0"/>
        <v>33</v>
      </c>
      <c r="N27" s="20">
        <v>1</v>
      </c>
      <c r="O27" s="28">
        <f t="shared" si="1"/>
        <v>33</v>
      </c>
      <c r="P27" s="110"/>
      <c r="Q27" s="110"/>
      <c r="R27" s="111"/>
      <c r="S27" s="39">
        <v>5</v>
      </c>
      <c r="T27" s="39">
        <f t="shared" si="4"/>
        <v>6</v>
      </c>
      <c r="U27" s="39">
        <f t="shared" si="2"/>
        <v>5</v>
      </c>
      <c r="V27" s="39">
        <f t="shared" si="3"/>
        <v>6</v>
      </c>
      <c r="W27" s="3"/>
    </row>
    <row r="28" spans="1:23" s="23" customFormat="1" ht="21.95" customHeight="1">
      <c r="A28" s="112" t="s">
        <v>2</v>
      </c>
      <c r="B28" s="112"/>
      <c r="C28" s="112"/>
      <c r="D28" s="112"/>
      <c r="E28" s="112"/>
      <c r="F28" s="112"/>
      <c r="G28" s="52">
        <f>O19+G24</f>
        <v>304</v>
      </c>
      <c r="H28" s="53">
        <f>O20+H25</f>
        <v>299</v>
      </c>
      <c r="I28" s="53">
        <f>O21+I24</f>
        <v>307</v>
      </c>
      <c r="J28" s="53">
        <f>O22+J26</f>
        <v>309</v>
      </c>
      <c r="K28" s="53">
        <f>O23+K27</f>
        <v>233</v>
      </c>
      <c r="L28" s="53"/>
      <c r="M28" s="54"/>
      <c r="N28" s="55">
        <f>SUM(N19:N27)</f>
        <v>26</v>
      </c>
      <c r="O28" s="56">
        <f>SUM(O19:O27)</f>
        <v>1452</v>
      </c>
      <c r="P28" s="113">
        <f>(P19*Q19*R19)/1000000*N28</f>
        <v>1.1211199999999999</v>
      </c>
      <c r="Q28" s="113"/>
      <c r="R28" s="113"/>
      <c r="S28" s="57"/>
      <c r="T28" s="58"/>
      <c r="U28" s="59">
        <f>SUM(U19:U27)</f>
        <v>236.8</v>
      </c>
      <c r="V28" s="59">
        <f>SUM(V19:V27)</f>
        <v>262.8</v>
      </c>
    </row>
    <row r="29" spans="1:23" ht="15" customHeight="1">
      <c r="A29" s="114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6"/>
      <c r="W29" s="2"/>
    </row>
    <row r="30" spans="1:23" s="6" customFormat="1" ht="15" customHeight="1">
      <c r="A30" s="103" t="s">
        <v>5</v>
      </c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46"/>
      <c r="N30" s="47">
        <f>N28</f>
        <v>26</v>
      </c>
      <c r="O30" s="48">
        <f>O28</f>
        <v>1452</v>
      </c>
      <c r="P30" s="117">
        <f>P28</f>
        <v>1.1211199999999999</v>
      </c>
      <c r="Q30" s="117"/>
      <c r="R30" s="117"/>
      <c r="S30" s="49"/>
      <c r="T30" s="49"/>
      <c r="U30" s="50">
        <f>U28</f>
        <v>236.8</v>
      </c>
      <c r="V30" s="50">
        <f>V28</f>
        <v>262.8</v>
      </c>
      <c r="W30" s="5"/>
    </row>
    <row r="31" spans="1:23" ht="15" customHeight="1">
      <c r="A31" s="118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</row>
    <row r="32" spans="1:23" s="7" customFormat="1" ht="30" customHeight="1">
      <c r="A32" s="106" t="s">
        <v>10</v>
      </c>
      <c r="B32" s="106"/>
      <c r="C32" s="106"/>
      <c r="D32" s="103" t="str">
        <f>D17</f>
        <v>COLOR</v>
      </c>
      <c r="E32" s="103"/>
      <c r="F32" s="103"/>
      <c r="G32" s="51" t="str">
        <f t="shared" ref="G32:L32" si="7">G18</f>
        <v>S</v>
      </c>
      <c r="H32" s="51" t="str">
        <f t="shared" si="7"/>
        <v>M</v>
      </c>
      <c r="I32" s="51" t="str">
        <f t="shared" si="7"/>
        <v>L</v>
      </c>
      <c r="J32" s="51" t="str">
        <f t="shared" si="7"/>
        <v>XL</v>
      </c>
      <c r="K32" s="51" t="str">
        <f t="shared" si="7"/>
        <v>XXL</v>
      </c>
      <c r="L32" s="51" t="str">
        <f t="shared" si="7"/>
        <v>3XL</v>
      </c>
      <c r="M32" s="103" t="s">
        <v>2</v>
      </c>
      <c r="N32" s="103"/>
      <c r="O32" s="81"/>
      <c r="P32" s="81"/>
      <c r="S32" s="81"/>
      <c r="T32" s="81"/>
      <c r="U32" s="81"/>
      <c r="V32" s="81"/>
    </row>
    <row r="33" spans="1:22" s="7" customFormat="1" ht="24.95" customHeight="1">
      <c r="A33" s="119" t="s">
        <v>12</v>
      </c>
      <c r="B33" s="119"/>
      <c r="C33" s="119"/>
      <c r="D33" s="120" t="str">
        <f>D19</f>
        <v>Carbon</v>
      </c>
      <c r="E33" s="121"/>
      <c r="F33" s="121"/>
      <c r="G33" s="77">
        <v>300</v>
      </c>
      <c r="H33" s="77">
        <v>300</v>
      </c>
      <c r="I33" s="77">
        <v>300</v>
      </c>
      <c r="J33" s="77">
        <v>300</v>
      </c>
      <c r="K33" s="77">
        <v>230</v>
      </c>
      <c r="L33" s="77"/>
      <c r="M33" s="122">
        <f>G33+H33+I33+J33+K33+L33</f>
        <v>1430</v>
      </c>
      <c r="N33" s="122"/>
      <c r="O33" s="22"/>
      <c r="P33" s="21"/>
      <c r="S33" s="81"/>
      <c r="T33" s="81"/>
      <c r="U33" s="81"/>
      <c r="V33" s="81"/>
    </row>
    <row r="34" spans="1:22" s="7" customFormat="1" ht="24.95" customHeight="1">
      <c r="A34" s="119" t="s">
        <v>30</v>
      </c>
      <c r="B34" s="119"/>
      <c r="C34" s="119"/>
      <c r="D34" s="121"/>
      <c r="E34" s="121"/>
      <c r="F34" s="121"/>
      <c r="G34" s="77">
        <f t="shared" ref="G34:K34" si="8">G28</f>
        <v>304</v>
      </c>
      <c r="H34" s="77">
        <f t="shared" si="8"/>
        <v>299</v>
      </c>
      <c r="I34" s="77">
        <f t="shared" si="8"/>
        <v>307</v>
      </c>
      <c r="J34" s="77">
        <f t="shared" si="8"/>
        <v>309</v>
      </c>
      <c r="K34" s="77">
        <f t="shared" si="8"/>
        <v>233</v>
      </c>
      <c r="L34" s="77">
        <f>L28</f>
        <v>0</v>
      </c>
      <c r="M34" s="122">
        <f>G34+H34+I34+J34+K34+L34</f>
        <v>1452</v>
      </c>
      <c r="N34" s="122"/>
      <c r="O34" s="22"/>
      <c r="P34" s="21"/>
      <c r="S34" s="81"/>
      <c r="T34" s="81"/>
      <c r="U34" s="81"/>
      <c r="V34" s="81"/>
    </row>
  </sheetData>
  <mergeCells count="40">
    <mergeCell ref="A33:C33"/>
    <mergeCell ref="D33:F34"/>
    <mergeCell ref="M33:N33"/>
    <mergeCell ref="A34:C34"/>
    <mergeCell ref="M34:N34"/>
    <mergeCell ref="A29:V29"/>
    <mergeCell ref="A30:L30"/>
    <mergeCell ref="P30:R30"/>
    <mergeCell ref="A31:V31"/>
    <mergeCell ref="A32:C32"/>
    <mergeCell ref="D32:F32"/>
    <mergeCell ref="M32:N32"/>
    <mergeCell ref="D19:F27"/>
    <mergeCell ref="P19:P27"/>
    <mergeCell ref="Q19:Q27"/>
    <mergeCell ref="R19:R27"/>
    <mergeCell ref="A28:F28"/>
    <mergeCell ref="P28:R28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5BC7A-0041-48AA-ACDC-E917C52AC3D8}">
  <sheetPr>
    <tabColor rgb="FFFF5050"/>
    <pageSetUpPr fitToPage="1"/>
  </sheetPr>
  <dimension ref="A1:W32"/>
  <sheetViews>
    <sheetView showGridLines="0" view="pageBreakPreview" topLeftCell="A15" zoomScaleNormal="62" zoomScaleSheetLayoutView="100" workbookViewId="0">
      <selection activeCell="S27" sqref="S27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82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216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217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1540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M32</f>
        <v>1559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19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N28</f>
        <v>28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89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78" t="s">
        <v>22</v>
      </c>
      <c r="J18" s="78" t="s">
        <v>93</v>
      </c>
      <c r="K18" s="78" t="s">
        <v>94</v>
      </c>
      <c r="L18" s="78" t="s">
        <v>95</v>
      </c>
      <c r="M18" s="106"/>
      <c r="N18" s="106"/>
      <c r="O18" s="106"/>
      <c r="P18" s="80" t="s">
        <v>22</v>
      </c>
      <c r="Q18" s="80" t="s">
        <v>23</v>
      </c>
      <c r="R18" s="80" t="s">
        <v>24</v>
      </c>
      <c r="S18" s="79" t="s">
        <v>6</v>
      </c>
      <c r="T18" s="79" t="s">
        <v>7</v>
      </c>
      <c r="U18" s="79" t="s">
        <v>8</v>
      </c>
      <c r="V18" s="79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3</v>
      </c>
      <c r="D19" s="109" t="s">
        <v>218</v>
      </c>
      <c r="E19" s="109"/>
      <c r="F19" s="109"/>
      <c r="G19" s="17">
        <v>70</v>
      </c>
      <c r="H19" s="18"/>
      <c r="I19" s="18"/>
      <c r="J19" s="19"/>
      <c r="K19" s="19"/>
      <c r="L19" s="19"/>
      <c r="M19" s="18">
        <f t="shared" ref="M19:M25" si="0">SUM(G19:L19)</f>
        <v>70</v>
      </c>
      <c r="N19" s="20">
        <v>3</v>
      </c>
      <c r="O19" s="28">
        <f t="shared" ref="O19:O25" si="1">M19*N19</f>
        <v>210</v>
      </c>
      <c r="P19" s="110">
        <v>55</v>
      </c>
      <c r="Q19" s="110">
        <v>28</v>
      </c>
      <c r="R19" s="111">
        <v>28</v>
      </c>
      <c r="S19" s="39">
        <v>9.1999999999999993</v>
      </c>
      <c r="T19" s="39">
        <f>S19+1</f>
        <v>10.199999999999999</v>
      </c>
      <c r="U19" s="39">
        <f t="shared" ref="U19:U25" si="2">S19*N19</f>
        <v>27.599999999999998</v>
      </c>
      <c r="V19" s="39">
        <f t="shared" ref="V19:V25" si="3">T19*N19</f>
        <v>30.599999999999998</v>
      </c>
      <c r="W19" s="3"/>
    </row>
    <row r="20" spans="1:23" s="4" customFormat="1" ht="18" customHeight="1">
      <c r="A20" s="25">
        <f>C19+1</f>
        <v>4</v>
      </c>
      <c r="B20" s="26" t="s">
        <v>25</v>
      </c>
      <c r="C20" s="25">
        <f>C19+N20</f>
        <v>9</v>
      </c>
      <c r="D20" s="109"/>
      <c r="E20" s="109"/>
      <c r="F20" s="109"/>
      <c r="G20" s="17"/>
      <c r="H20" s="18">
        <v>60</v>
      </c>
      <c r="I20" s="18"/>
      <c r="J20" s="19"/>
      <c r="K20" s="19"/>
      <c r="L20" s="19"/>
      <c r="M20" s="18">
        <f t="shared" si="0"/>
        <v>60</v>
      </c>
      <c r="N20" s="20">
        <v>6</v>
      </c>
      <c r="O20" s="28">
        <f t="shared" si="1"/>
        <v>360</v>
      </c>
      <c r="P20" s="110"/>
      <c r="Q20" s="110"/>
      <c r="R20" s="111"/>
      <c r="S20" s="39">
        <v>8.6</v>
      </c>
      <c r="T20" s="39">
        <f t="shared" ref="T20:T25" si="4">S20+1</f>
        <v>9.6</v>
      </c>
      <c r="U20" s="39">
        <f t="shared" si="2"/>
        <v>51.599999999999994</v>
      </c>
      <c r="V20" s="39">
        <f t="shared" si="3"/>
        <v>57.599999999999994</v>
      </c>
      <c r="W20" s="3"/>
    </row>
    <row r="21" spans="1:23" s="4" customFormat="1" ht="18" customHeight="1">
      <c r="A21" s="25">
        <f t="shared" ref="A21:A25" si="5">C20+1</f>
        <v>10</v>
      </c>
      <c r="B21" s="26" t="s">
        <v>25</v>
      </c>
      <c r="C21" s="25">
        <f>C20+N21</f>
        <v>15</v>
      </c>
      <c r="D21" s="109"/>
      <c r="E21" s="109"/>
      <c r="F21" s="109"/>
      <c r="G21" s="17"/>
      <c r="H21" s="18"/>
      <c r="I21" s="18">
        <v>60</v>
      </c>
      <c r="J21" s="19"/>
      <c r="K21" s="19"/>
      <c r="L21" s="19"/>
      <c r="M21" s="18">
        <f t="shared" si="0"/>
        <v>60</v>
      </c>
      <c r="N21" s="20">
        <v>6</v>
      </c>
      <c r="O21" s="28">
        <f t="shared" si="1"/>
        <v>360</v>
      </c>
      <c r="P21" s="110"/>
      <c r="Q21" s="110"/>
      <c r="R21" s="111"/>
      <c r="S21" s="39">
        <v>9.3000000000000007</v>
      </c>
      <c r="T21" s="39">
        <f t="shared" si="4"/>
        <v>10.3</v>
      </c>
      <c r="U21" s="39">
        <f t="shared" si="2"/>
        <v>55.800000000000004</v>
      </c>
      <c r="V21" s="39">
        <f t="shared" si="3"/>
        <v>61.800000000000004</v>
      </c>
      <c r="W21" s="3"/>
    </row>
    <row r="22" spans="1:23" s="4" customFormat="1" ht="18" customHeight="1">
      <c r="A22" s="25">
        <f t="shared" si="5"/>
        <v>16</v>
      </c>
      <c r="B22" s="26" t="s">
        <v>25</v>
      </c>
      <c r="C22" s="25">
        <f>C21+N22</f>
        <v>21</v>
      </c>
      <c r="D22" s="109"/>
      <c r="E22" s="109"/>
      <c r="F22" s="109"/>
      <c r="G22" s="17"/>
      <c r="H22" s="18"/>
      <c r="I22" s="18"/>
      <c r="J22" s="19">
        <v>50</v>
      </c>
      <c r="K22" s="19"/>
      <c r="L22" s="19"/>
      <c r="M22" s="18">
        <f t="shared" si="0"/>
        <v>50</v>
      </c>
      <c r="N22" s="20">
        <v>6</v>
      </c>
      <c r="O22" s="28">
        <f t="shared" si="1"/>
        <v>300</v>
      </c>
      <c r="P22" s="110"/>
      <c r="Q22" s="110"/>
      <c r="R22" s="111"/>
      <c r="S22" s="39">
        <v>8.1999999999999993</v>
      </c>
      <c r="T22" s="39">
        <f t="shared" si="4"/>
        <v>9.1999999999999993</v>
      </c>
      <c r="U22" s="39">
        <f t="shared" si="2"/>
        <v>49.199999999999996</v>
      </c>
      <c r="V22" s="39">
        <f t="shared" si="3"/>
        <v>55.199999999999996</v>
      </c>
      <c r="W22" s="3"/>
    </row>
    <row r="23" spans="1:23" s="4" customFormat="1" ht="18" customHeight="1">
      <c r="A23" s="25">
        <f t="shared" si="5"/>
        <v>22</v>
      </c>
      <c r="B23" s="26" t="s">
        <v>25</v>
      </c>
      <c r="C23" s="25">
        <f>C22+N23</f>
        <v>26</v>
      </c>
      <c r="D23" s="109"/>
      <c r="E23" s="109"/>
      <c r="F23" s="109"/>
      <c r="G23" s="17"/>
      <c r="H23" s="18"/>
      <c r="I23" s="18"/>
      <c r="J23" s="19"/>
      <c r="K23" s="19">
        <v>50</v>
      </c>
      <c r="L23" s="19"/>
      <c r="M23" s="18">
        <f t="shared" si="0"/>
        <v>50</v>
      </c>
      <c r="N23" s="20">
        <v>5</v>
      </c>
      <c r="O23" s="28">
        <f t="shared" si="1"/>
        <v>250</v>
      </c>
      <c r="P23" s="110"/>
      <c r="Q23" s="110"/>
      <c r="R23" s="111"/>
      <c r="S23" s="39">
        <v>9</v>
      </c>
      <c r="T23" s="39">
        <f t="shared" si="4"/>
        <v>10</v>
      </c>
      <c r="U23" s="39">
        <f t="shared" si="2"/>
        <v>45</v>
      </c>
      <c r="V23" s="39">
        <f t="shared" si="3"/>
        <v>50</v>
      </c>
      <c r="W23" s="3"/>
    </row>
    <row r="24" spans="1:23" s="4" customFormat="1" ht="18" customHeight="1">
      <c r="A24" s="25">
        <f t="shared" si="5"/>
        <v>27</v>
      </c>
      <c r="B24" s="26" t="s">
        <v>25</v>
      </c>
      <c r="C24" s="25">
        <f t="shared" ref="C24:C25" si="6">C23+N24</f>
        <v>27</v>
      </c>
      <c r="D24" s="109"/>
      <c r="E24" s="109"/>
      <c r="F24" s="109"/>
      <c r="G24" s="17"/>
      <c r="H24" s="18"/>
      <c r="I24" s="18">
        <v>41</v>
      </c>
      <c r="J24" s="19"/>
      <c r="K24" s="19"/>
      <c r="L24" s="19"/>
      <c r="M24" s="18">
        <f t="shared" si="0"/>
        <v>41</v>
      </c>
      <c r="N24" s="20">
        <v>1</v>
      </c>
      <c r="O24" s="28">
        <f t="shared" si="1"/>
        <v>41</v>
      </c>
      <c r="P24" s="110"/>
      <c r="Q24" s="110"/>
      <c r="R24" s="111"/>
      <c r="S24" s="39">
        <v>6.4</v>
      </c>
      <c r="T24" s="39">
        <f t="shared" si="4"/>
        <v>7.4</v>
      </c>
      <c r="U24" s="39">
        <f t="shared" si="2"/>
        <v>6.4</v>
      </c>
      <c r="V24" s="39">
        <f t="shared" si="3"/>
        <v>7.4</v>
      </c>
      <c r="W24" s="3"/>
    </row>
    <row r="25" spans="1:23" s="4" customFormat="1" ht="18" customHeight="1">
      <c r="A25" s="25">
        <f t="shared" si="5"/>
        <v>28</v>
      </c>
      <c r="B25" s="26" t="s">
        <v>25</v>
      </c>
      <c r="C25" s="25">
        <f t="shared" si="6"/>
        <v>28</v>
      </c>
      <c r="D25" s="109"/>
      <c r="E25" s="109"/>
      <c r="F25" s="109"/>
      <c r="G25" s="17">
        <v>25</v>
      </c>
      <c r="H25" s="18">
        <v>5</v>
      </c>
      <c r="I25" s="18"/>
      <c r="J25" s="19">
        <v>6</v>
      </c>
      <c r="K25" s="19">
        <v>2</v>
      </c>
      <c r="L25" s="19"/>
      <c r="M25" s="18">
        <f t="shared" si="0"/>
        <v>38</v>
      </c>
      <c r="N25" s="20">
        <v>1</v>
      </c>
      <c r="O25" s="28">
        <f t="shared" si="1"/>
        <v>38</v>
      </c>
      <c r="P25" s="110"/>
      <c r="Q25" s="110"/>
      <c r="R25" s="111"/>
      <c r="S25" s="39">
        <v>5.6</v>
      </c>
      <c r="T25" s="39">
        <f t="shared" si="4"/>
        <v>6.6</v>
      </c>
      <c r="U25" s="39">
        <f t="shared" si="2"/>
        <v>5.6</v>
      </c>
      <c r="V25" s="39">
        <f t="shared" si="3"/>
        <v>6.6</v>
      </c>
      <c r="W25" s="3"/>
    </row>
    <row r="26" spans="1:23" s="23" customFormat="1" ht="21.95" customHeight="1">
      <c r="A26" s="112" t="s">
        <v>2</v>
      </c>
      <c r="B26" s="112"/>
      <c r="C26" s="112"/>
      <c r="D26" s="112"/>
      <c r="E26" s="112"/>
      <c r="F26" s="112"/>
      <c r="G26" s="52">
        <f>O19+G25</f>
        <v>235</v>
      </c>
      <c r="H26" s="53">
        <f>O20+H25</f>
        <v>365</v>
      </c>
      <c r="I26" s="53">
        <f>O21+I24</f>
        <v>401</v>
      </c>
      <c r="J26" s="53">
        <f>O22+J25</f>
        <v>306</v>
      </c>
      <c r="K26" s="53">
        <f>O23+K25</f>
        <v>252</v>
      </c>
      <c r="L26" s="53"/>
      <c r="M26" s="54"/>
      <c r="N26" s="55">
        <f>SUM(N19:N25)</f>
        <v>28</v>
      </c>
      <c r="O26" s="56">
        <f>SUM(O19:O25)</f>
        <v>1559</v>
      </c>
      <c r="P26" s="113">
        <f>(P19*Q19*R19)/1000000*N26</f>
        <v>1.20736</v>
      </c>
      <c r="Q26" s="113"/>
      <c r="R26" s="113"/>
      <c r="S26" s="57"/>
      <c r="T26" s="58"/>
      <c r="U26" s="59">
        <f>SUM(U19:U25)</f>
        <v>241.2</v>
      </c>
      <c r="V26" s="59">
        <f>SUM(V19:V25)</f>
        <v>269.2</v>
      </c>
    </row>
    <row r="27" spans="1:23" ht="15" customHeight="1">
      <c r="A27" s="114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6"/>
      <c r="W27" s="2"/>
    </row>
    <row r="28" spans="1:23" s="6" customFormat="1" ht="15" customHeight="1">
      <c r="A28" s="103" t="s">
        <v>5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46"/>
      <c r="N28" s="47">
        <f>N26</f>
        <v>28</v>
      </c>
      <c r="O28" s="48">
        <f>O26</f>
        <v>1559</v>
      </c>
      <c r="P28" s="117">
        <f>P26</f>
        <v>1.20736</v>
      </c>
      <c r="Q28" s="117"/>
      <c r="R28" s="117"/>
      <c r="S28" s="49"/>
      <c r="T28" s="49"/>
      <c r="U28" s="50">
        <f>U26</f>
        <v>241.2</v>
      </c>
      <c r="V28" s="50">
        <f>V26</f>
        <v>269.2</v>
      </c>
      <c r="W28" s="5"/>
    </row>
    <row r="29" spans="1:23" ht="15" customHeight="1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</row>
    <row r="30" spans="1:23" s="7" customFormat="1" ht="30" customHeight="1">
      <c r="A30" s="106" t="s">
        <v>10</v>
      </c>
      <c r="B30" s="106"/>
      <c r="C30" s="106"/>
      <c r="D30" s="103" t="str">
        <f>D17</f>
        <v>COLOR</v>
      </c>
      <c r="E30" s="103"/>
      <c r="F30" s="103"/>
      <c r="G30" s="51" t="str">
        <f t="shared" ref="G30:L30" si="7">G18</f>
        <v>S</v>
      </c>
      <c r="H30" s="51" t="str">
        <f t="shared" si="7"/>
        <v>M</v>
      </c>
      <c r="I30" s="51" t="str">
        <f t="shared" si="7"/>
        <v>L</v>
      </c>
      <c r="J30" s="51" t="str">
        <f t="shared" si="7"/>
        <v>XL</v>
      </c>
      <c r="K30" s="51" t="str">
        <f t="shared" si="7"/>
        <v>XXL</v>
      </c>
      <c r="L30" s="51" t="str">
        <f t="shared" si="7"/>
        <v>3XL</v>
      </c>
      <c r="M30" s="103" t="s">
        <v>2</v>
      </c>
      <c r="N30" s="103"/>
      <c r="O30" s="81"/>
      <c r="P30" s="81"/>
      <c r="S30" s="81"/>
      <c r="T30" s="81"/>
      <c r="U30" s="81"/>
      <c r="V30" s="81"/>
    </row>
    <row r="31" spans="1:23" s="7" customFormat="1" ht="24.95" customHeight="1">
      <c r="A31" s="119" t="s">
        <v>12</v>
      </c>
      <c r="B31" s="119"/>
      <c r="C31" s="119"/>
      <c r="D31" s="120" t="str">
        <f>D19</f>
        <v>Dusky Blue</v>
      </c>
      <c r="E31" s="121"/>
      <c r="F31" s="121"/>
      <c r="G31" s="77">
        <v>230</v>
      </c>
      <c r="H31" s="77">
        <v>360</v>
      </c>
      <c r="I31" s="77">
        <v>400</v>
      </c>
      <c r="J31" s="77">
        <v>300</v>
      </c>
      <c r="K31" s="77">
        <v>250</v>
      </c>
      <c r="L31" s="77"/>
      <c r="M31" s="122">
        <f>G31+H31+I31+J31+K31+L31</f>
        <v>1540</v>
      </c>
      <c r="N31" s="122"/>
      <c r="O31" s="22"/>
      <c r="P31" s="21"/>
      <c r="S31" s="81"/>
      <c r="T31" s="81"/>
      <c r="U31" s="81"/>
      <c r="V31" s="81"/>
    </row>
    <row r="32" spans="1:23" s="7" customFormat="1" ht="24.95" customHeight="1">
      <c r="A32" s="119" t="s">
        <v>30</v>
      </c>
      <c r="B32" s="119"/>
      <c r="C32" s="119"/>
      <c r="D32" s="121"/>
      <c r="E32" s="121"/>
      <c r="F32" s="121"/>
      <c r="G32" s="77">
        <f t="shared" ref="G32:K32" si="8">G26</f>
        <v>235</v>
      </c>
      <c r="H32" s="77">
        <f t="shared" si="8"/>
        <v>365</v>
      </c>
      <c r="I32" s="77">
        <f t="shared" si="8"/>
        <v>401</v>
      </c>
      <c r="J32" s="77">
        <f t="shared" si="8"/>
        <v>306</v>
      </c>
      <c r="K32" s="77">
        <f t="shared" si="8"/>
        <v>252</v>
      </c>
      <c r="L32" s="77">
        <f>L26</f>
        <v>0</v>
      </c>
      <c r="M32" s="122">
        <f>G32+H32+I32+J32+K32+L32</f>
        <v>1559</v>
      </c>
      <c r="N32" s="122"/>
      <c r="O32" s="22"/>
      <c r="P32" s="21"/>
      <c r="S32" s="81"/>
      <c r="T32" s="81"/>
      <c r="U32" s="81"/>
      <c r="V32" s="81"/>
    </row>
  </sheetData>
  <mergeCells count="40">
    <mergeCell ref="A31:C31"/>
    <mergeCell ref="D31:F32"/>
    <mergeCell ref="M31:N31"/>
    <mergeCell ref="A32:C32"/>
    <mergeCell ref="M32:N32"/>
    <mergeCell ref="A27:V27"/>
    <mergeCell ref="A28:L28"/>
    <mergeCell ref="P28:R28"/>
    <mergeCell ref="A29:V29"/>
    <mergeCell ref="A30:C30"/>
    <mergeCell ref="D30:F30"/>
    <mergeCell ref="M30:N30"/>
    <mergeCell ref="D19:F25"/>
    <mergeCell ref="P19:P25"/>
    <mergeCell ref="Q19:Q25"/>
    <mergeCell ref="R19:R25"/>
    <mergeCell ref="A26:F26"/>
    <mergeCell ref="P26:R26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1A278-42A5-475C-9FFA-D4816786663F}">
  <sheetPr>
    <tabColor rgb="FF92D050"/>
    <pageSetUpPr fitToPage="1"/>
  </sheetPr>
  <dimension ref="A1:W32"/>
  <sheetViews>
    <sheetView showGridLines="0" view="pageBreakPreview" topLeftCell="A18" zoomScaleNormal="62" zoomScaleSheetLayoutView="100" workbookViewId="0">
      <selection activeCell="T32" sqref="T32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82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219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158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1050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M32</f>
        <v>1055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5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N28</f>
        <v>16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187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78" t="s">
        <v>22</v>
      </c>
      <c r="J18" s="78" t="s">
        <v>93</v>
      </c>
      <c r="K18" s="78" t="s">
        <v>94</v>
      </c>
      <c r="L18" s="78" t="s">
        <v>95</v>
      </c>
      <c r="M18" s="106"/>
      <c r="N18" s="106"/>
      <c r="O18" s="106"/>
      <c r="P18" s="80" t="s">
        <v>22</v>
      </c>
      <c r="Q18" s="80" t="s">
        <v>23</v>
      </c>
      <c r="R18" s="80" t="s">
        <v>24</v>
      </c>
      <c r="S18" s="79" t="s">
        <v>6</v>
      </c>
      <c r="T18" s="79" t="s">
        <v>7</v>
      </c>
      <c r="U18" s="79" t="s">
        <v>8</v>
      </c>
      <c r="V18" s="79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2</v>
      </c>
      <c r="D19" s="109" t="s">
        <v>220</v>
      </c>
      <c r="E19" s="109"/>
      <c r="F19" s="109"/>
      <c r="G19" s="17">
        <v>80</v>
      </c>
      <c r="H19" s="18"/>
      <c r="I19" s="18"/>
      <c r="J19" s="19"/>
      <c r="K19" s="19"/>
      <c r="L19" s="19"/>
      <c r="M19" s="18">
        <f t="shared" ref="M19:M25" si="0">SUM(G19:L19)</f>
        <v>80</v>
      </c>
      <c r="N19" s="20">
        <v>2</v>
      </c>
      <c r="O19" s="28">
        <f t="shared" ref="O19:O25" si="1">M19*N19</f>
        <v>160</v>
      </c>
      <c r="P19" s="110">
        <v>55</v>
      </c>
      <c r="Q19" s="110">
        <v>28</v>
      </c>
      <c r="R19" s="111">
        <v>28</v>
      </c>
      <c r="S19" s="39">
        <v>10.9</v>
      </c>
      <c r="T19" s="39">
        <f>S19+1</f>
        <v>11.9</v>
      </c>
      <c r="U19" s="39">
        <f t="shared" ref="U19:U25" si="2">S19*N19</f>
        <v>21.8</v>
      </c>
      <c r="V19" s="39">
        <f t="shared" ref="V19:V25" si="3">T19*N19</f>
        <v>23.8</v>
      </c>
      <c r="W19" s="3"/>
    </row>
    <row r="20" spans="1:23" s="4" customFormat="1" ht="18" customHeight="1">
      <c r="A20" s="25">
        <f>C19+1</f>
        <v>3</v>
      </c>
      <c r="B20" s="26" t="s">
        <v>25</v>
      </c>
      <c r="C20" s="25">
        <f>C19+N20</f>
        <v>5</v>
      </c>
      <c r="D20" s="109"/>
      <c r="E20" s="109"/>
      <c r="F20" s="109"/>
      <c r="G20" s="17"/>
      <c r="H20" s="18">
        <v>75</v>
      </c>
      <c r="I20" s="18"/>
      <c r="J20" s="19"/>
      <c r="K20" s="19"/>
      <c r="L20" s="19"/>
      <c r="M20" s="18">
        <f t="shared" si="0"/>
        <v>75</v>
      </c>
      <c r="N20" s="20">
        <v>3</v>
      </c>
      <c r="O20" s="28">
        <f t="shared" si="1"/>
        <v>225</v>
      </c>
      <c r="P20" s="110"/>
      <c r="Q20" s="110"/>
      <c r="R20" s="111"/>
      <c r="S20" s="39">
        <v>11</v>
      </c>
      <c r="T20" s="39">
        <f t="shared" ref="T20:T25" si="4">S20+1</f>
        <v>12</v>
      </c>
      <c r="U20" s="39">
        <f t="shared" si="2"/>
        <v>33</v>
      </c>
      <c r="V20" s="39">
        <f t="shared" si="3"/>
        <v>36</v>
      </c>
      <c r="W20" s="3"/>
    </row>
    <row r="21" spans="1:23" s="4" customFormat="1" ht="18" customHeight="1">
      <c r="A21" s="25">
        <f t="shared" ref="A21:A25" si="5">C20+1</f>
        <v>6</v>
      </c>
      <c r="B21" s="26" t="s">
        <v>25</v>
      </c>
      <c r="C21" s="25">
        <f>C20+N21</f>
        <v>8</v>
      </c>
      <c r="D21" s="109"/>
      <c r="E21" s="109"/>
      <c r="F21" s="109"/>
      <c r="G21" s="17"/>
      <c r="H21" s="18"/>
      <c r="I21" s="18">
        <v>70</v>
      </c>
      <c r="J21" s="19"/>
      <c r="K21" s="19"/>
      <c r="L21" s="19"/>
      <c r="M21" s="18">
        <f t="shared" si="0"/>
        <v>70</v>
      </c>
      <c r="N21" s="20">
        <v>3</v>
      </c>
      <c r="O21" s="28">
        <f t="shared" si="1"/>
        <v>210</v>
      </c>
      <c r="P21" s="110"/>
      <c r="Q21" s="110"/>
      <c r="R21" s="111"/>
      <c r="S21" s="39">
        <v>11.25</v>
      </c>
      <c r="T21" s="39">
        <f t="shared" si="4"/>
        <v>12.25</v>
      </c>
      <c r="U21" s="39">
        <f t="shared" si="2"/>
        <v>33.75</v>
      </c>
      <c r="V21" s="39">
        <f t="shared" si="3"/>
        <v>36.75</v>
      </c>
      <c r="W21" s="3"/>
    </row>
    <row r="22" spans="1:23" s="4" customFormat="1" ht="18" customHeight="1">
      <c r="A22" s="25">
        <f t="shared" si="5"/>
        <v>9</v>
      </c>
      <c r="B22" s="26" t="s">
        <v>25</v>
      </c>
      <c r="C22" s="25">
        <f>C21+N22</f>
        <v>11</v>
      </c>
      <c r="D22" s="109"/>
      <c r="E22" s="109"/>
      <c r="F22" s="109"/>
      <c r="G22" s="17"/>
      <c r="H22" s="18"/>
      <c r="I22" s="18"/>
      <c r="J22" s="19">
        <v>60</v>
      </c>
      <c r="K22" s="19"/>
      <c r="L22" s="19"/>
      <c r="M22" s="18">
        <f t="shared" si="0"/>
        <v>60</v>
      </c>
      <c r="N22" s="20">
        <v>3</v>
      </c>
      <c r="O22" s="28">
        <f t="shared" si="1"/>
        <v>180</v>
      </c>
      <c r="P22" s="110"/>
      <c r="Q22" s="110"/>
      <c r="R22" s="111"/>
      <c r="S22" s="39">
        <v>11.25</v>
      </c>
      <c r="T22" s="39">
        <f t="shared" si="4"/>
        <v>12.25</v>
      </c>
      <c r="U22" s="39">
        <f t="shared" si="2"/>
        <v>33.75</v>
      </c>
      <c r="V22" s="39">
        <f t="shared" si="3"/>
        <v>36.75</v>
      </c>
      <c r="W22" s="3"/>
    </row>
    <row r="23" spans="1:23" s="4" customFormat="1" ht="18" customHeight="1">
      <c r="A23" s="25">
        <f t="shared" si="5"/>
        <v>12</v>
      </c>
      <c r="B23" s="26" t="s">
        <v>25</v>
      </c>
      <c r="C23" s="25">
        <f>C22+N23</f>
        <v>14</v>
      </c>
      <c r="D23" s="109"/>
      <c r="E23" s="109"/>
      <c r="F23" s="109"/>
      <c r="G23" s="17"/>
      <c r="H23" s="18"/>
      <c r="I23" s="18"/>
      <c r="J23" s="19"/>
      <c r="K23" s="19">
        <v>50</v>
      </c>
      <c r="L23" s="19"/>
      <c r="M23" s="18">
        <f t="shared" si="0"/>
        <v>50</v>
      </c>
      <c r="N23" s="20">
        <v>3</v>
      </c>
      <c r="O23" s="28">
        <f t="shared" si="1"/>
        <v>150</v>
      </c>
      <c r="P23" s="110"/>
      <c r="Q23" s="110"/>
      <c r="R23" s="111"/>
      <c r="S23" s="39">
        <v>9.15</v>
      </c>
      <c r="T23" s="39">
        <f t="shared" si="4"/>
        <v>10.15</v>
      </c>
      <c r="U23" s="39">
        <f t="shared" si="2"/>
        <v>27.450000000000003</v>
      </c>
      <c r="V23" s="39">
        <f t="shared" si="3"/>
        <v>30.450000000000003</v>
      </c>
      <c r="W23" s="3"/>
    </row>
    <row r="24" spans="1:23" s="4" customFormat="1" ht="18" customHeight="1">
      <c r="A24" s="25">
        <f t="shared" si="5"/>
        <v>15</v>
      </c>
      <c r="B24" s="26" t="s">
        <v>25</v>
      </c>
      <c r="C24" s="25">
        <f t="shared" ref="C24:C25" si="6">C23+N24</f>
        <v>15</v>
      </c>
      <c r="D24" s="109"/>
      <c r="E24" s="109"/>
      <c r="F24" s="109"/>
      <c r="G24" s="17">
        <v>37</v>
      </c>
      <c r="H24" s="18">
        <v>29</v>
      </c>
      <c r="I24" s="18"/>
      <c r="J24" s="19"/>
      <c r="K24" s="19">
        <v>4</v>
      </c>
      <c r="L24" s="19"/>
      <c r="M24" s="18">
        <f t="shared" si="0"/>
        <v>70</v>
      </c>
      <c r="N24" s="20">
        <v>1</v>
      </c>
      <c r="O24" s="28">
        <f t="shared" si="1"/>
        <v>70</v>
      </c>
      <c r="P24" s="110"/>
      <c r="Q24" s="110"/>
      <c r="R24" s="111"/>
      <c r="S24" s="39">
        <v>10.15</v>
      </c>
      <c r="T24" s="39">
        <f t="shared" si="4"/>
        <v>11.15</v>
      </c>
      <c r="U24" s="39">
        <f t="shared" si="2"/>
        <v>10.15</v>
      </c>
      <c r="V24" s="39">
        <f t="shared" si="3"/>
        <v>11.15</v>
      </c>
      <c r="W24" s="3"/>
    </row>
    <row r="25" spans="1:23" s="4" customFormat="1" ht="18" customHeight="1">
      <c r="A25" s="25">
        <f t="shared" si="5"/>
        <v>16</v>
      </c>
      <c r="B25" s="26" t="s">
        <v>25</v>
      </c>
      <c r="C25" s="25">
        <f t="shared" si="6"/>
        <v>16</v>
      </c>
      <c r="D25" s="109"/>
      <c r="E25" s="109"/>
      <c r="F25" s="109"/>
      <c r="G25" s="17"/>
      <c r="H25" s="18"/>
      <c r="I25" s="18">
        <v>47</v>
      </c>
      <c r="J25" s="19">
        <v>13</v>
      </c>
      <c r="K25" s="19"/>
      <c r="L25" s="19"/>
      <c r="M25" s="18">
        <f t="shared" si="0"/>
        <v>60</v>
      </c>
      <c r="N25" s="20">
        <v>1</v>
      </c>
      <c r="O25" s="28">
        <f t="shared" si="1"/>
        <v>60</v>
      </c>
      <c r="P25" s="110"/>
      <c r="Q25" s="110"/>
      <c r="R25" s="111"/>
      <c r="S25" s="39">
        <v>9.9</v>
      </c>
      <c r="T25" s="39">
        <f t="shared" si="4"/>
        <v>10.9</v>
      </c>
      <c r="U25" s="39">
        <f t="shared" si="2"/>
        <v>9.9</v>
      </c>
      <c r="V25" s="39">
        <f t="shared" si="3"/>
        <v>10.9</v>
      </c>
      <c r="W25" s="3"/>
    </row>
    <row r="26" spans="1:23" s="23" customFormat="1" ht="21.95" customHeight="1">
      <c r="A26" s="112" t="s">
        <v>2</v>
      </c>
      <c r="B26" s="112"/>
      <c r="C26" s="112"/>
      <c r="D26" s="112"/>
      <c r="E26" s="112"/>
      <c r="F26" s="112"/>
      <c r="G26" s="52">
        <f>O19+G24</f>
        <v>197</v>
      </c>
      <c r="H26" s="53">
        <f>O20+H24</f>
        <v>254</v>
      </c>
      <c r="I26" s="53">
        <f>O21+I25</f>
        <v>257</v>
      </c>
      <c r="J26" s="53">
        <f>O22+J25</f>
        <v>193</v>
      </c>
      <c r="K26" s="53">
        <f>O23+K24</f>
        <v>154</v>
      </c>
      <c r="L26" s="53"/>
      <c r="M26" s="54"/>
      <c r="N26" s="55">
        <f>SUM(N19:N25)</f>
        <v>16</v>
      </c>
      <c r="O26" s="56">
        <f>SUM(O19:O25)</f>
        <v>1055</v>
      </c>
      <c r="P26" s="113">
        <f>(P19*Q19*R19)/1000000*N26</f>
        <v>0.68991999999999998</v>
      </c>
      <c r="Q26" s="113"/>
      <c r="R26" s="113"/>
      <c r="S26" s="57"/>
      <c r="T26" s="58"/>
      <c r="U26" s="59">
        <f>SUM(U19:U25)</f>
        <v>169.8</v>
      </c>
      <c r="V26" s="59">
        <f>SUM(V19:V25)</f>
        <v>185.8</v>
      </c>
    </row>
    <row r="27" spans="1:23" ht="15" customHeight="1">
      <c r="A27" s="114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6"/>
      <c r="W27" s="2"/>
    </row>
    <row r="28" spans="1:23" s="6" customFormat="1" ht="15" customHeight="1">
      <c r="A28" s="103" t="s">
        <v>5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46"/>
      <c r="N28" s="47">
        <f>N26</f>
        <v>16</v>
      </c>
      <c r="O28" s="48">
        <f>O26</f>
        <v>1055</v>
      </c>
      <c r="P28" s="117">
        <f>P26</f>
        <v>0.68991999999999998</v>
      </c>
      <c r="Q28" s="117"/>
      <c r="R28" s="117"/>
      <c r="S28" s="49"/>
      <c r="T28" s="49"/>
      <c r="U28" s="50">
        <f>U26</f>
        <v>169.8</v>
      </c>
      <c r="V28" s="50">
        <f>V26</f>
        <v>185.8</v>
      </c>
      <c r="W28" s="5"/>
    </row>
    <row r="29" spans="1:23" ht="15" customHeight="1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</row>
    <row r="30" spans="1:23" s="7" customFormat="1" ht="30" customHeight="1">
      <c r="A30" s="106" t="s">
        <v>10</v>
      </c>
      <c r="B30" s="106"/>
      <c r="C30" s="106"/>
      <c r="D30" s="103" t="str">
        <f>D17</f>
        <v>COLOR</v>
      </c>
      <c r="E30" s="103"/>
      <c r="F30" s="103"/>
      <c r="G30" s="51" t="str">
        <f t="shared" ref="G30:L30" si="7">G18</f>
        <v>S</v>
      </c>
      <c r="H30" s="51" t="str">
        <f t="shared" si="7"/>
        <v>M</v>
      </c>
      <c r="I30" s="51" t="str">
        <f t="shared" si="7"/>
        <v>L</v>
      </c>
      <c r="J30" s="51" t="str">
        <f t="shared" si="7"/>
        <v>XL</v>
      </c>
      <c r="K30" s="51" t="str">
        <f t="shared" si="7"/>
        <v>XXL</v>
      </c>
      <c r="L30" s="51" t="str">
        <f t="shared" si="7"/>
        <v>3XL</v>
      </c>
      <c r="M30" s="103" t="s">
        <v>2</v>
      </c>
      <c r="N30" s="103"/>
      <c r="O30" s="81"/>
      <c r="P30" s="81"/>
      <c r="S30" s="81"/>
      <c r="T30" s="81"/>
      <c r="U30" s="81"/>
      <c r="V30" s="81"/>
    </row>
    <row r="31" spans="1:23" s="7" customFormat="1" ht="24.95" customHeight="1">
      <c r="A31" s="119" t="s">
        <v>12</v>
      </c>
      <c r="B31" s="119"/>
      <c r="C31" s="119"/>
      <c r="D31" s="120" t="str">
        <f>D19</f>
        <v>Coral Marl</v>
      </c>
      <c r="E31" s="121"/>
      <c r="F31" s="121"/>
      <c r="G31" s="77">
        <v>200</v>
      </c>
      <c r="H31" s="77">
        <v>250</v>
      </c>
      <c r="I31" s="77">
        <v>250</v>
      </c>
      <c r="J31" s="77">
        <v>200</v>
      </c>
      <c r="K31" s="77">
        <v>150</v>
      </c>
      <c r="L31" s="77"/>
      <c r="M31" s="122">
        <f>G31+H31+I31+J31+K31+L31</f>
        <v>1050</v>
      </c>
      <c r="N31" s="122"/>
      <c r="O31" s="22"/>
      <c r="P31" s="21"/>
      <c r="S31" s="81"/>
      <c r="T31" s="81"/>
      <c r="U31" s="81"/>
      <c r="V31" s="81"/>
    </row>
    <row r="32" spans="1:23" s="7" customFormat="1" ht="24.95" customHeight="1">
      <c r="A32" s="119" t="s">
        <v>30</v>
      </c>
      <c r="B32" s="119"/>
      <c r="C32" s="119"/>
      <c r="D32" s="121"/>
      <c r="E32" s="121"/>
      <c r="F32" s="121"/>
      <c r="G32" s="77">
        <f t="shared" ref="G32:K32" si="8">G26</f>
        <v>197</v>
      </c>
      <c r="H32" s="77">
        <f t="shared" si="8"/>
        <v>254</v>
      </c>
      <c r="I32" s="77">
        <f t="shared" si="8"/>
        <v>257</v>
      </c>
      <c r="J32" s="77">
        <f t="shared" si="8"/>
        <v>193</v>
      </c>
      <c r="K32" s="77">
        <f t="shared" si="8"/>
        <v>154</v>
      </c>
      <c r="L32" s="77"/>
      <c r="M32" s="122">
        <f>G32+H32+I32+J32+K32+L32</f>
        <v>1055</v>
      </c>
      <c r="N32" s="122"/>
      <c r="O32" s="22"/>
      <c r="P32" s="21"/>
      <c r="S32" s="81"/>
      <c r="T32" s="81"/>
      <c r="U32" s="81"/>
      <c r="V32" s="81"/>
    </row>
  </sheetData>
  <mergeCells count="40">
    <mergeCell ref="A31:C31"/>
    <mergeCell ref="D31:F32"/>
    <mergeCell ref="M31:N31"/>
    <mergeCell ref="A32:C32"/>
    <mergeCell ref="M32:N32"/>
    <mergeCell ref="A27:V27"/>
    <mergeCell ref="A28:L28"/>
    <mergeCell ref="P28:R28"/>
    <mergeCell ref="A29:V29"/>
    <mergeCell ref="A30:C30"/>
    <mergeCell ref="D30:F30"/>
    <mergeCell ref="M30:N30"/>
    <mergeCell ref="D19:F25"/>
    <mergeCell ref="P19:P25"/>
    <mergeCell ref="Q19:Q25"/>
    <mergeCell ref="R19:R25"/>
    <mergeCell ref="A26:F26"/>
    <mergeCell ref="P26:R26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E144F-C90A-43BC-B843-23E0ADB65698}">
  <sheetPr>
    <tabColor rgb="FF92D050"/>
    <pageSetUpPr fitToPage="1"/>
  </sheetPr>
  <dimension ref="A1:W32"/>
  <sheetViews>
    <sheetView showGridLines="0" view="pageBreakPreview" topLeftCell="A15" zoomScaleNormal="62" zoomScaleSheetLayoutView="100" workbookViewId="0">
      <selection activeCell="T32" sqref="T32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82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221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222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1600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M32</f>
        <v>1629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29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N28</f>
        <v>28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89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78" t="s">
        <v>22</v>
      </c>
      <c r="J18" s="78" t="s">
        <v>93</v>
      </c>
      <c r="K18" s="78" t="s">
        <v>94</v>
      </c>
      <c r="L18" s="78" t="s">
        <v>95</v>
      </c>
      <c r="M18" s="106"/>
      <c r="N18" s="106"/>
      <c r="O18" s="106"/>
      <c r="P18" s="80" t="s">
        <v>22</v>
      </c>
      <c r="Q18" s="80" t="s">
        <v>23</v>
      </c>
      <c r="R18" s="80" t="s">
        <v>24</v>
      </c>
      <c r="S18" s="79" t="s">
        <v>6</v>
      </c>
      <c r="T18" s="79" t="s">
        <v>7</v>
      </c>
      <c r="U18" s="79" t="s">
        <v>8</v>
      </c>
      <c r="V18" s="79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2</v>
      </c>
      <c r="D19" s="109" t="s">
        <v>223</v>
      </c>
      <c r="E19" s="109"/>
      <c r="F19" s="109"/>
      <c r="G19" s="17">
        <v>70</v>
      </c>
      <c r="H19" s="18"/>
      <c r="I19" s="18"/>
      <c r="J19" s="19"/>
      <c r="K19" s="19"/>
      <c r="L19" s="19"/>
      <c r="M19" s="18">
        <f t="shared" ref="M19:M25" si="0">SUM(G19:L19)</f>
        <v>70</v>
      </c>
      <c r="N19" s="20">
        <v>2</v>
      </c>
      <c r="O19" s="28">
        <f t="shared" ref="O19:O25" si="1">M19*N19</f>
        <v>140</v>
      </c>
      <c r="P19" s="110">
        <v>55</v>
      </c>
      <c r="Q19" s="110">
        <v>28</v>
      </c>
      <c r="R19" s="111">
        <v>28</v>
      </c>
      <c r="S19" s="39">
        <v>9.4499999999999993</v>
      </c>
      <c r="T19" s="39">
        <f>S19+1</f>
        <v>10.45</v>
      </c>
      <c r="U19" s="39">
        <f t="shared" ref="U19:U25" si="2">S19*N19</f>
        <v>18.899999999999999</v>
      </c>
      <c r="V19" s="39">
        <f t="shared" ref="V19:V25" si="3">T19*N19</f>
        <v>20.9</v>
      </c>
      <c r="W19" s="3"/>
    </row>
    <row r="20" spans="1:23" s="4" customFormat="1" ht="18" customHeight="1">
      <c r="A20" s="25">
        <f>C19+1</f>
        <v>3</v>
      </c>
      <c r="B20" s="26" t="s">
        <v>25</v>
      </c>
      <c r="C20" s="25">
        <f>C19+N20</f>
        <v>8</v>
      </c>
      <c r="D20" s="109"/>
      <c r="E20" s="109"/>
      <c r="F20" s="109"/>
      <c r="G20" s="17"/>
      <c r="H20" s="18">
        <v>65</v>
      </c>
      <c r="I20" s="18"/>
      <c r="J20" s="19"/>
      <c r="K20" s="19"/>
      <c r="L20" s="19"/>
      <c r="M20" s="18">
        <f t="shared" si="0"/>
        <v>65</v>
      </c>
      <c r="N20" s="20">
        <v>6</v>
      </c>
      <c r="O20" s="28">
        <f t="shared" si="1"/>
        <v>390</v>
      </c>
      <c r="P20" s="110"/>
      <c r="Q20" s="110"/>
      <c r="R20" s="111"/>
      <c r="S20" s="39">
        <v>9.6</v>
      </c>
      <c r="T20" s="39">
        <f t="shared" ref="T20:T25" si="4">S20+1</f>
        <v>10.6</v>
      </c>
      <c r="U20" s="39">
        <f t="shared" si="2"/>
        <v>57.599999999999994</v>
      </c>
      <c r="V20" s="39">
        <f t="shared" si="3"/>
        <v>63.599999999999994</v>
      </c>
      <c r="W20" s="3"/>
    </row>
    <row r="21" spans="1:23" s="4" customFormat="1" ht="18" customHeight="1">
      <c r="A21" s="25">
        <f t="shared" ref="A21:A25" si="5">C20+1</f>
        <v>9</v>
      </c>
      <c r="B21" s="26" t="s">
        <v>25</v>
      </c>
      <c r="C21" s="25">
        <f>C20+N21</f>
        <v>13</v>
      </c>
      <c r="D21" s="109"/>
      <c r="E21" s="109"/>
      <c r="F21" s="109"/>
      <c r="G21" s="17"/>
      <c r="H21" s="18"/>
      <c r="I21" s="18">
        <v>60</v>
      </c>
      <c r="J21" s="19"/>
      <c r="K21" s="19"/>
      <c r="L21" s="19"/>
      <c r="M21" s="18">
        <f t="shared" si="0"/>
        <v>60</v>
      </c>
      <c r="N21" s="20">
        <v>5</v>
      </c>
      <c r="O21" s="28">
        <f t="shared" si="1"/>
        <v>300</v>
      </c>
      <c r="P21" s="110"/>
      <c r="Q21" s="110"/>
      <c r="R21" s="111"/>
      <c r="S21" s="39">
        <v>9.65</v>
      </c>
      <c r="T21" s="39">
        <f t="shared" si="4"/>
        <v>10.65</v>
      </c>
      <c r="U21" s="39">
        <f t="shared" si="2"/>
        <v>48.25</v>
      </c>
      <c r="V21" s="39">
        <f t="shared" si="3"/>
        <v>53.25</v>
      </c>
      <c r="W21" s="3"/>
    </row>
    <row r="22" spans="1:23" s="4" customFormat="1" ht="18" customHeight="1">
      <c r="A22" s="25">
        <f t="shared" si="5"/>
        <v>14</v>
      </c>
      <c r="B22" s="26" t="s">
        <v>25</v>
      </c>
      <c r="C22" s="25">
        <f>C21+N22</f>
        <v>20</v>
      </c>
      <c r="D22" s="109"/>
      <c r="E22" s="109"/>
      <c r="F22" s="109"/>
      <c r="G22" s="17"/>
      <c r="H22" s="18"/>
      <c r="I22" s="18"/>
      <c r="J22" s="19">
        <v>50</v>
      </c>
      <c r="K22" s="19"/>
      <c r="L22" s="19"/>
      <c r="M22" s="18">
        <f t="shared" si="0"/>
        <v>50</v>
      </c>
      <c r="N22" s="20">
        <v>7</v>
      </c>
      <c r="O22" s="28">
        <f t="shared" si="1"/>
        <v>350</v>
      </c>
      <c r="P22" s="110"/>
      <c r="Q22" s="110"/>
      <c r="R22" s="111"/>
      <c r="S22" s="39">
        <v>8.65</v>
      </c>
      <c r="T22" s="39">
        <f t="shared" si="4"/>
        <v>9.65</v>
      </c>
      <c r="U22" s="39">
        <f t="shared" si="2"/>
        <v>60.550000000000004</v>
      </c>
      <c r="V22" s="39">
        <f t="shared" si="3"/>
        <v>67.55</v>
      </c>
      <c r="W22" s="3"/>
    </row>
    <row r="23" spans="1:23" s="4" customFormat="1" ht="18" customHeight="1">
      <c r="A23" s="25">
        <f t="shared" si="5"/>
        <v>21</v>
      </c>
      <c r="B23" s="26" t="s">
        <v>25</v>
      </c>
      <c r="C23" s="25">
        <f>C22+N23</f>
        <v>26</v>
      </c>
      <c r="D23" s="109"/>
      <c r="E23" s="109"/>
      <c r="F23" s="109"/>
      <c r="G23" s="17"/>
      <c r="H23" s="18"/>
      <c r="I23" s="18"/>
      <c r="J23" s="19"/>
      <c r="K23" s="19">
        <v>50</v>
      </c>
      <c r="L23" s="19"/>
      <c r="M23" s="18">
        <f t="shared" si="0"/>
        <v>50</v>
      </c>
      <c r="N23" s="20">
        <v>6</v>
      </c>
      <c r="O23" s="28">
        <f t="shared" si="1"/>
        <v>300</v>
      </c>
      <c r="P23" s="110"/>
      <c r="Q23" s="110"/>
      <c r="R23" s="111"/>
      <c r="S23" s="39">
        <v>9.15</v>
      </c>
      <c r="T23" s="39">
        <f t="shared" si="4"/>
        <v>10.15</v>
      </c>
      <c r="U23" s="39">
        <f t="shared" si="2"/>
        <v>54.900000000000006</v>
      </c>
      <c r="V23" s="39">
        <f t="shared" si="3"/>
        <v>60.900000000000006</v>
      </c>
      <c r="W23" s="3"/>
    </row>
    <row r="24" spans="1:23" s="4" customFormat="1" ht="18" customHeight="1">
      <c r="A24" s="25">
        <f t="shared" si="5"/>
        <v>27</v>
      </c>
      <c r="B24" s="26" t="s">
        <v>25</v>
      </c>
      <c r="C24" s="25">
        <f t="shared" ref="C24:C25" si="6">C23+N24</f>
        <v>27</v>
      </c>
      <c r="D24" s="109"/>
      <c r="E24" s="109"/>
      <c r="F24" s="109"/>
      <c r="G24" s="17">
        <v>66</v>
      </c>
      <c r="H24" s="18"/>
      <c r="I24" s="18"/>
      <c r="J24" s="19">
        <v>11</v>
      </c>
      <c r="K24" s="19"/>
      <c r="L24" s="19"/>
      <c r="M24" s="18">
        <f t="shared" si="0"/>
        <v>77</v>
      </c>
      <c r="N24" s="20">
        <v>1</v>
      </c>
      <c r="O24" s="28">
        <f t="shared" si="1"/>
        <v>77</v>
      </c>
      <c r="P24" s="110"/>
      <c r="Q24" s="110"/>
      <c r="R24" s="111"/>
      <c r="S24" s="39">
        <v>11.1</v>
      </c>
      <c r="T24" s="39">
        <f t="shared" si="4"/>
        <v>12.1</v>
      </c>
      <c r="U24" s="39">
        <f t="shared" si="2"/>
        <v>11.1</v>
      </c>
      <c r="V24" s="39">
        <f t="shared" si="3"/>
        <v>12.1</v>
      </c>
      <c r="W24" s="3"/>
    </row>
    <row r="25" spans="1:23" s="4" customFormat="1" ht="18" customHeight="1">
      <c r="A25" s="25">
        <f t="shared" si="5"/>
        <v>28</v>
      </c>
      <c r="B25" s="26" t="s">
        <v>25</v>
      </c>
      <c r="C25" s="25">
        <f t="shared" si="6"/>
        <v>28</v>
      </c>
      <c r="D25" s="109"/>
      <c r="E25" s="109"/>
      <c r="F25" s="109"/>
      <c r="G25" s="17"/>
      <c r="H25" s="18">
        <v>14</v>
      </c>
      <c r="I25" s="18">
        <v>51</v>
      </c>
      <c r="J25" s="19"/>
      <c r="K25" s="19">
        <v>7</v>
      </c>
      <c r="L25" s="19"/>
      <c r="M25" s="18">
        <f t="shared" si="0"/>
        <v>72</v>
      </c>
      <c r="N25" s="20">
        <v>1</v>
      </c>
      <c r="O25" s="28">
        <f t="shared" si="1"/>
        <v>72</v>
      </c>
      <c r="P25" s="110"/>
      <c r="Q25" s="110"/>
      <c r="R25" s="111"/>
      <c r="S25" s="39">
        <v>11.6</v>
      </c>
      <c r="T25" s="39">
        <f t="shared" si="4"/>
        <v>12.6</v>
      </c>
      <c r="U25" s="39">
        <f t="shared" si="2"/>
        <v>11.6</v>
      </c>
      <c r="V25" s="39">
        <f t="shared" si="3"/>
        <v>12.6</v>
      </c>
      <c r="W25" s="3"/>
    </row>
    <row r="26" spans="1:23" s="23" customFormat="1" ht="21.95" customHeight="1">
      <c r="A26" s="112" t="s">
        <v>2</v>
      </c>
      <c r="B26" s="112"/>
      <c r="C26" s="112"/>
      <c r="D26" s="112"/>
      <c r="E26" s="112"/>
      <c r="F26" s="112"/>
      <c r="G26" s="52">
        <f>O19+G24</f>
        <v>206</v>
      </c>
      <c r="H26" s="53">
        <f>O20+H25</f>
        <v>404</v>
      </c>
      <c r="I26" s="53">
        <f>O21+I25</f>
        <v>351</v>
      </c>
      <c r="J26" s="53">
        <f>O22+J24</f>
        <v>361</v>
      </c>
      <c r="K26" s="53">
        <f>O23+K25</f>
        <v>307</v>
      </c>
      <c r="L26" s="53"/>
      <c r="M26" s="54"/>
      <c r="N26" s="55">
        <f>SUM(N19:N25)</f>
        <v>28</v>
      </c>
      <c r="O26" s="56">
        <f>SUM(O19:O25)</f>
        <v>1629</v>
      </c>
      <c r="P26" s="113">
        <f>(P19*Q19*R19)/1000000*N26</f>
        <v>1.20736</v>
      </c>
      <c r="Q26" s="113"/>
      <c r="R26" s="113"/>
      <c r="S26" s="57"/>
      <c r="T26" s="58"/>
      <c r="U26" s="59">
        <f>SUM(U19:U25)</f>
        <v>262.90000000000003</v>
      </c>
      <c r="V26" s="59">
        <f>SUM(V19:V25)</f>
        <v>290.90000000000009</v>
      </c>
    </row>
    <row r="27" spans="1:23" ht="15" customHeight="1">
      <c r="A27" s="114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6"/>
      <c r="W27" s="2"/>
    </row>
    <row r="28" spans="1:23" s="6" customFormat="1" ht="15" customHeight="1">
      <c r="A28" s="103" t="s">
        <v>5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46"/>
      <c r="N28" s="47">
        <f>N26</f>
        <v>28</v>
      </c>
      <c r="O28" s="48">
        <f>O26</f>
        <v>1629</v>
      </c>
      <c r="P28" s="117">
        <f>P26</f>
        <v>1.20736</v>
      </c>
      <c r="Q28" s="117"/>
      <c r="R28" s="117"/>
      <c r="S28" s="49"/>
      <c r="T28" s="49"/>
      <c r="U28" s="50">
        <f>U26</f>
        <v>262.90000000000003</v>
      </c>
      <c r="V28" s="50">
        <f>V26</f>
        <v>290.90000000000009</v>
      </c>
      <c r="W28" s="5"/>
    </row>
    <row r="29" spans="1:23" ht="15" customHeight="1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</row>
    <row r="30" spans="1:23" s="7" customFormat="1" ht="30" customHeight="1">
      <c r="A30" s="106" t="s">
        <v>10</v>
      </c>
      <c r="B30" s="106"/>
      <c r="C30" s="106"/>
      <c r="D30" s="103" t="str">
        <f>D17</f>
        <v>COLOR</v>
      </c>
      <c r="E30" s="103"/>
      <c r="F30" s="103"/>
      <c r="G30" s="51" t="str">
        <f t="shared" ref="G30:L30" si="7">G18</f>
        <v>S</v>
      </c>
      <c r="H30" s="51" t="str">
        <f t="shared" si="7"/>
        <v>M</v>
      </c>
      <c r="I30" s="51" t="str">
        <f t="shared" si="7"/>
        <v>L</v>
      </c>
      <c r="J30" s="51" t="str">
        <f t="shared" si="7"/>
        <v>XL</v>
      </c>
      <c r="K30" s="51" t="str">
        <f t="shared" si="7"/>
        <v>XXL</v>
      </c>
      <c r="L30" s="51" t="str">
        <f t="shared" si="7"/>
        <v>3XL</v>
      </c>
      <c r="M30" s="103" t="s">
        <v>2</v>
      </c>
      <c r="N30" s="103"/>
      <c r="O30" s="81"/>
      <c r="P30" s="81"/>
      <c r="S30" s="81"/>
      <c r="T30" s="81"/>
      <c r="U30" s="81"/>
      <c r="V30" s="81"/>
    </row>
    <row r="31" spans="1:23" s="7" customFormat="1" ht="24.95" customHeight="1">
      <c r="A31" s="119" t="s">
        <v>12</v>
      </c>
      <c r="B31" s="119"/>
      <c r="C31" s="119"/>
      <c r="D31" s="120" t="str">
        <f>D19</f>
        <v>Cerise</v>
      </c>
      <c r="E31" s="121"/>
      <c r="F31" s="121"/>
      <c r="G31" s="77">
        <v>200</v>
      </c>
      <c r="H31" s="77">
        <v>400</v>
      </c>
      <c r="I31" s="77">
        <v>350</v>
      </c>
      <c r="J31" s="77">
        <v>350</v>
      </c>
      <c r="K31" s="77">
        <v>300</v>
      </c>
      <c r="L31" s="77"/>
      <c r="M31" s="122">
        <f>G31+H31+I31+J31+K31+L31</f>
        <v>1600</v>
      </c>
      <c r="N31" s="122"/>
      <c r="O31" s="22"/>
      <c r="P31" s="21"/>
      <c r="S31" s="81"/>
      <c r="T31" s="81"/>
      <c r="U31" s="81"/>
      <c r="V31" s="81"/>
    </row>
    <row r="32" spans="1:23" s="7" customFormat="1" ht="24.95" customHeight="1">
      <c r="A32" s="119" t="s">
        <v>30</v>
      </c>
      <c r="B32" s="119"/>
      <c r="C32" s="119"/>
      <c r="D32" s="121"/>
      <c r="E32" s="121"/>
      <c r="F32" s="121"/>
      <c r="G32" s="77">
        <f t="shared" ref="G32:K32" si="8">G26</f>
        <v>206</v>
      </c>
      <c r="H32" s="77">
        <f t="shared" si="8"/>
        <v>404</v>
      </c>
      <c r="I32" s="77">
        <f t="shared" si="8"/>
        <v>351</v>
      </c>
      <c r="J32" s="77">
        <f t="shared" si="8"/>
        <v>361</v>
      </c>
      <c r="K32" s="77">
        <f t="shared" si="8"/>
        <v>307</v>
      </c>
      <c r="L32" s="77"/>
      <c r="M32" s="122">
        <f>G32+H32+I32+J32+K32+L32</f>
        <v>1629</v>
      </c>
      <c r="N32" s="122"/>
      <c r="O32" s="22"/>
      <c r="P32" s="21"/>
      <c r="S32" s="81"/>
      <c r="T32" s="81"/>
      <c r="U32" s="81"/>
      <c r="V32" s="81"/>
    </row>
  </sheetData>
  <mergeCells count="40">
    <mergeCell ref="A31:C31"/>
    <mergeCell ref="D31:F32"/>
    <mergeCell ref="M31:N31"/>
    <mergeCell ref="A32:C32"/>
    <mergeCell ref="M32:N32"/>
    <mergeCell ref="A27:V27"/>
    <mergeCell ref="A28:L28"/>
    <mergeCell ref="P28:R28"/>
    <mergeCell ref="A29:V29"/>
    <mergeCell ref="A30:C30"/>
    <mergeCell ref="D30:F30"/>
    <mergeCell ref="M30:N30"/>
    <mergeCell ref="D19:F25"/>
    <mergeCell ref="P19:P25"/>
    <mergeCell ref="Q19:Q25"/>
    <mergeCell ref="R19:R25"/>
    <mergeCell ref="A26:F26"/>
    <mergeCell ref="P26:R26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3550-72D6-4688-B6F9-90F18720178D}">
  <sheetPr>
    <tabColor rgb="FFFFC000"/>
    <pageSetUpPr fitToPage="1"/>
  </sheetPr>
  <dimension ref="A1:W32"/>
  <sheetViews>
    <sheetView showGridLines="0" view="pageBreakPreview" topLeftCell="A18" zoomScaleNormal="62" zoomScaleSheetLayoutView="100" workbookViewId="0">
      <selection activeCell="S28" sqref="S28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82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224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225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1750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M32</f>
        <v>1785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35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N28</f>
        <v>30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89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78" t="s">
        <v>22</v>
      </c>
      <c r="J18" s="78" t="s">
        <v>93</v>
      </c>
      <c r="K18" s="78" t="s">
        <v>94</v>
      </c>
      <c r="L18" s="78" t="s">
        <v>95</v>
      </c>
      <c r="M18" s="106"/>
      <c r="N18" s="106"/>
      <c r="O18" s="106"/>
      <c r="P18" s="80" t="s">
        <v>22</v>
      </c>
      <c r="Q18" s="80" t="s">
        <v>23</v>
      </c>
      <c r="R18" s="80" t="s">
        <v>24</v>
      </c>
      <c r="S18" s="79" t="s">
        <v>6</v>
      </c>
      <c r="T18" s="79" t="s">
        <v>7</v>
      </c>
      <c r="U18" s="79" t="s">
        <v>8</v>
      </c>
      <c r="V18" s="79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5</v>
      </c>
      <c r="D19" s="109" t="s">
        <v>226</v>
      </c>
      <c r="E19" s="109"/>
      <c r="F19" s="109"/>
      <c r="G19" s="17">
        <v>70</v>
      </c>
      <c r="H19" s="18"/>
      <c r="I19" s="18"/>
      <c r="J19" s="19"/>
      <c r="K19" s="19"/>
      <c r="L19" s="19"/>
      <c r="M19" s="18">
        <f t="shared" ref="M19:M25" si="0">SUM(G19:L19)</f>
        <v>70</v>
      </c>
      <c r="N19" s="20">
        <v>5</v>
      </c>
      <c r="O19" s="28">
        <f t="shared" ref="O19:O25" si="1">M19*N19</f>
        <v>350</v>
      </c>
      <c r="P19" s="110">
        <v>55</v>
      </c>
      <c r="Q19" s="110">
        <v>28</v>
      </c>
      <c r="R19" s="111">
        <v>28</v>
      </c>
      <c r="S19" s="39">
        <v>9.1</v>
      </c>
      <c r="T19" s="39">
        <f>S19+1</f>
        <v>10.1</v>
      </c>
      <c r="U19" s="39">
        <f t="shared" ref="U19:U25" si="2">S19*N19</f>
        <v>45.5</v>
      </c>
      <c r="V19" s="39">
        <f t="shared" ref="V19:V25" si="3">T19*N19</f>
        <v>50.5</v>
      </c>
      <c r="W19" s="3"/>
    </row>
    <row r="20" spans="1:23" s="4" customFormat="1" ht="18" customHeight="1">
      <c r="A20" s="25">
        <f>C19+1</f>
        <v>6</v>
      </c>
      <c r="B20" s="26" t="s">
        <v>25</v>
      </c>
      <c r="C20" s="25">
        <f>C19+N20</f>
        <v>11</v>
      </c>
      <c r="D20" s="109"/>
      <c r="E20" s="109"/>
      <c r="F20" s="109"/>
      <c r="G20" s="17"/>
      <c r="H20" s="18">
        <v>65</v>
      </c>
      <c r="I20" s="18"/>
      <c r="J20" s="19"/>
      <c r="K20" s="19"/>
      <c r="L20" s="19"/>
      <c r="M20" s="18">
        <f t="shared" si="0"/>
        <v>65</v>
      </c>
      <c r="N20" s="20">
        <v>6</v>
      </c>
      <c r="O20" s="28">
        <f t="shared" si="1"/>
        <v>390</v>
      </c>
      <c r="P20" s="110"/>
      <c r="Q20" s="110"/>
      <c r="R20" s="111"/>
      <c r="S20" s="39">
        <v>9</v>
      </c>
      <c r="T20" s="39">
        <f t="shared" ref="T20:T25" si="4">S20+1</f>
        <v>10</v>
      </c>
      <c r="U20" s="39">
        <f t="shared" si="2"/>
        <v>54</v>
      </c>
      <c r="V20" s="39">
        <f t="shared" si="3"/>
        <v>60</v>
      </c>
      <c r="W20" s="3"/>
    </row>
    <row r="21" spans="1:23" s="4" customFormat="1" ht="18" customHeight="1">
      <c r="A21" s="25">
        <f t="shared" ref="A21:A25" si="5">C20+1</f>
        <v>12</v>
      </c>
      <c r="B21" s="26" t="s">
        <v>25</v>
      </c>
      <c r="C21" s="25">
        <f>C20+N21</f>
        <v>17</v>
      </c>
      <c r="D21" s="109"/>
      <c r="E21" s="109"/>
      <c r="F21" s="109"/>
      <c r="G21" s="17"/>
      <c r="H21" s="18"/>
      <c r="I21" s="18">
        <v>60</v>
      </c>
      <c r="J21" s="19"/>
      <c r="K21" s="19"/>
      <c r="L21" s="19"/>
      <c r="M21" s="18">
        <f t="shared" si="0"/>
        <v>60</v>
      </c>
      <c r="N21" s="20">
        <v>6</v>
      </c>
      <c r="O21" s="28">
        <f t="shared" si="1"/>
        <v>360</v>
      </c>
      <c r="P21" s="110"/>
      <c r="Q21" s="110"/>
      <c r="R21" s="111"/>
      <c r="S21" s="39">
        <v>9</v>
      </c>
      <c r="T21" s="39">
        <f t="shared" si="4"/>
        <v>10</v>
      </c>
      <c r="U21" s="39">
        <f t="shared" si="2"/>
        <v>54</v>
      </c>
      <c r="V21" s="39">
        <f t="shared" si="3"/>
        <v>60</v>
      </c>
      <c r="W21" s="3"/>
    </row>
    <row r="22" spans="1:23" s="4" customFormat="1" ht="18" customHeight="1">
      <c r="A22" s="25">
        <f t="shared" si="5"/>
        <v>18</v>
      </c>
      <c r="B22" s="26" t="s">
        <v>25</v>
      </c>
      <c r="C22" s="25">
        <f>C21+N22</f>
        <v>23</v>
      </c>
      <c r="D22" s="109"/>
      <c r="E22" s="109"/>
      <c r="F22" s="109"/>
      <c r="G22" s="17"/>
      <c r="H22" s="18"/>
      <c r="I22" s="18"/>
      <c r="J22" s="19">
        <v>50</v>
      </c>
      <c r="K22" s="19"/>
      <c r="L22" s="19"/>
      <c r="M22" s="18">
        <f t="shared" si="0"/>
        <v>50</v>
      </c>
      <c r="N22" s="20">
        <v>6</v>
      </c>
      <c r="O22" s="28">
        <f t="shared" si="1"/>
        <v>300</v>
      </c>
      <c r="P22" s="110"/>
      <c r="Q22" s="110"/>
      <c r="R22" s="111"/>
      <c r="S22" s="39">
        <v>8</v>
      </c>
      <c r="T22" s="39">
        <f t="shared" si="4"/>
        <v>9</v>
      </c>
      <c r="U22" s="39">
        <f t="shared" si="2"/>
        <v>48</v>
      </c>
      <c r="V22" s="39">
        <f t="shared" si="3"/>
        <v>54</v>
      </c>
      <c r="W22" s="3"/>
    </row>
    <row r="23" spans="1:23" s="4" customFormat="1" ht="18" customHeight="1">
      <c r="A23" s="25">
        <f t="shared" si="5"/>
        <v>24</v>
      </c>
      <c r="B23" s="26" t="s">
        <v>25</v>
      </c>
      <c r="C23" s="25">
        <f>C22+N23</f>
        <v>28</v>
      </c>
      <c r="D23" s="109"/>
      <c r="E23" s="109"/>
      <c r="F23" s="109"/>
      <c r="G23" s="17"/>
      <c r="H23" s="18"/>
      <c r="I23" s="18"/>
      <c r="J23" s="19"/>
      <c r="K23" s="19">
        <v>50</v>
      </c>
      <c r="L23" s="19"/>
      <c r="M23" s="18">
        <f t="shared" si="0"/>
        <v>50</v>
      </c>
      <c r="N23" s="20">
        <v>5</v>
      </c>
      <c r="O23" s="28">
        <f t="shared" si="1"/>
        <v>250</v>
      </c>
      <c r="P23" s="110"/>
      <c r="Q23" s="110"/>
      <c r="R23" s="111"/>
      <c r="S23" s="39">
        <v>8.8000000000000007</v>
      </c>
      <c r="T23" s="39">
        <f t="shared" si="4"/>
        <v>9.8000000000000007</v>
      </c>
      <c r="U23" s="39">
        <f t="shared" si="2"/>
        <v>44</v>
      </c>
      <c r="V23" s="39">
        <f t="shared" si="3"/>
        <v>49</v>
      </c>
      <c r="W23" s="3"/>
    </row>
    <row r="24" spans="1:23" s="4" customFormat="1" ht="18" customHeight="1">
      <c r="A24" s="25">
        <f t="shared" si="5"/>
        <v>29</v>
      </c>
      <c r="B24" s="26" t="s">
        <v>25</v>
      </c>
      <c r="C24" s="25">
        <f t="shared" ref="C24:C25" si="6">C23+N24</f>
        <v>29</v>
      </c>
      <c r="D24" s="109"/>
      <c r="E24" s="109"/>
      <c r="F24" s="109"/>
      <c r="G24" s="17">
        <v>4</v>
      </c>
      <c r="H24" s="18"/>
      <c r="I24" s="18">
        <v>54</v>
      </c>
      <c r="J24" s="19"/>
      <c r="K24" s="19">
        <v>10</v>
      </c>
      <c r="L24" s="19"/>
      <c r="M24" s="18">
        <f t="shared" si="0"/>
        <v>68</v>
      </c>
      <c r="N24" s="20">
        <v>1</v>
      </c>
      <c r="O24" s="28">
        <f t="shared" si="1"/>
        <v>68</v>
      </c>
      <c r="P24" s="110"/>
      <c r="Q24" s="110"/>
      <c r="R24" s="111"/>
      <c r="S24" s="39">
        <v>11</v>
      </c>
      <c r="T24" s="39">
        <f t="shared" si="4"/>
        <v>12</v>
      </c>
      <c r="U24" s="39">
        <f t="shared" si="2"/>
        <v>11</v>
      </c>
      <c r="V24" s="39">
        <f t="shared" si="3"/>
        <v>12</v>
      </c>
      <c r="W24" s="3"/>
    </row>
    <row r="25" spans="1:23" s="4" customFormat="1" ht="18" customHeight="1">
      <c r="A25" s="25">
        <f t="shared" si="5"/>
        <v>30</v>
      </c>
      <c r="B25" s="26" t="s">
        <v>25</v>
      </c>
      <c r="C25" s="25">
        <f t="shared" si="6"/>
        <v>30</v>
      </c>
      <c r="D25" s="109"/>
      <c r="E25" s="109"/>
      <c r="F25" s="109"/>
      <c r="G25" s="17"/>
      <c r="H25" s="18">
        <v>25</v>
      </c>
      <c r="I25" s="18"/>
      <c r="J25" s="19">
        <v>42</v>
      </c>
      <c r="K25" s="19"/>
      <c r="L25" s="19"/>
      <c r="M25" s="18">
        <f t="shared" si="0"/>
        <v>67</v>
      </c>
      <c r="N25" s="20">
        <v>1</v>
      </c>
      <c r="O25" s="28">
        <f t="shared" si="1"/>
        <v>67</v>
      </c>
      <c r="P25" s="110"/>
      <c r="Q25" s="110"/>
      <c r="R25" s="111"/>
      <c r="S25" s="39">
        <v>11</v>
      </c>
      <c r="T25" s="39">
        <f t="shared" si="4"/>
        <v>12</v>
      </c>
      <c r="U25" s="39">
        <f t="shared" si="2"/>
        <v>11</v>
      </c>
      <c r="V25" s="39">
        <f t="shared" si="3"/>
        <v>12</v>
      </c>
      <c r="W25" s="3"/>
    </row>
    <row r="26" spans="1:23" s="23" customFormat="1" ht="21.95" customHeight="1">
      <c r="A26" s="112" t="s">
        <v>2</v>
      </c>
      <c r="B26" s="112"/>
      <c r="C26" s="112"/>
      <c r="D26" s="112"/>
      <c r="E26" s="112"/>
      <c r="F26" s="112"/>
      <c r="G26" s="52">
        <f>O19+G24</f>
        <v>354</v>
      </c>
      <c r="H26" s="53">
        <f>O20+H25</f>
        <v>415</v>
      </c>
      <c r="I26" s="53">
        <f>O21+I24</f>
        <v>414</v>
      </c>
      <c r="J26" s="53">
        <f>O22+J25</f>
        <v>342</v>
      </c>
      <c r="K26" s="53">
        <f>O23+K24</f>
        <v>260</v>
      </c>
      <c r="L26" s="53"/>
      <c r="M26" s="54"/>
      <c r="N26" s="55">
        <f>SUM(N19:N25)</f>
        <v>30</v>
      </c>
      <c r="O26" s="56">
        <f>SUM(O19:O25)</f>
        <v>1785</v>
      </c>
      <c r="P26" s="113">
        <f>(P19*Q19*R19)/1000000*N26</f>
        <v>1.2935999999999999</v>
      </c>
      <c r="Q26" s="113"/>
      <c r="R26" s="113"/>
      <c r="S26" s="57"/>
      <c r="T26" s="58"/>
      <c r="U26" s="59">
        <f>SUM(U19:U25)</f>
        <v>267.5</v>
      </c>
      <c r="V26" s="59">
        <f>SUM(V19:V25)</f>
        <v>297.5</v>
      </c>
    </row>
    <row r="27" spans="1:23" ht="15" customHeight="1">
      <c r="A27" s="114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6"/>
      <c r="W27" s="2"/>
    </row>
    <row r="28" spans="1:23" s="6" customFormat="1" ht="15" customHeight="1">
      <c r="A28" s="103" t="s">
        <v>5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46"/>
      <c r="N28" s="47">
        <f>N26</f>
        <v>30</v>
      </c>
      <c r="O28" s="48">
        <f>O26</f>
        <v>1785</v>
      </c>
      <c r="P28" s="117">
        <f>P26</f>
        <v>1.2935999999999999</v>
      </c>
      <c r="Q28" s="117"/>
      <c r="R28" s="117"/>
      <c r="S28" s="49"/>
      <c r="T28" s="49"/>
      <c r="U28" s="50">
        <f>U26</f>
        <v>267.5</v>
      </c>
      <c r="V28" s="50">
        <f>V26</f>
        <v>297.5</v>
      </c>
      <c r="W28" s="5"/>
    </row>
    <row r="29" spans="1:23" ht="15" customHeight="1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</row>
    <row r="30" spans="1:23" s="7" customFormat="1" ht="30" customHeight="1">
      <c r="A30" s="106" t="s">
        <v>10</v>
      </c>
      <c r="B30" s="106"/>
      <c r="C30" s="106"/>
      <c r="D30" s="103" t="str">
        <f>D17</f>
        <v>COLOR</v>
      </c>
      <c r="E30" s="103"/>
      <c r="F30" s="103"/>
      <c r="G30" s="51" t="str">
        <f t="shared" ref="G30:L30" si="7">G18</f>
        <v>S</v>
      </c>
      <c r="H30" s="51" t="str">
        <f t="shared" si="7"/>
        <v>M</v>
      </c>
      <c r="I30" s="51" t="str">
        <f t="shared" si="7"/>
        <v>L</v>
      </c>
      <c r="J30" s="51" t="str">
        <f t="shared" si="7"/>
        <v>XL</v>
      </c>
      <c r="K30" s="51" t="str">
        <f t="shared" si="7"/>
        <v>XXL</v>
      </c>
      <c r="L30" s="51" t="str">
        <f t="shared" si="7"/>
        <v>3XL</v>
      </c>
      <c r="M30" s="103" t="s">
        <v>2</v>
      </c>
      <c r="N30" s="103"/>
      <c r="O30" s="81"/>
      <c r="P30" s="81"/>
      <c r="S30" s="81"/>
      <c r="T30" s="81"/>
      <c r="U30" s="81"/>
      <c r="V30" s="81"/>
    </row>
    <row r="31" spans="1:23" s="7" customFormat="1" ht="24.95" customHeight="1">
      <c r="A31" s="119" t="s">
        <v>12</v>
      </c>
      <c r="B31" s="119"/>
      <c r="C31" s="119"/>
      <c r="D31" s="120" t="str">
        <f>D19</f>
        <v>Azure Green</v>
      </c>
      <c r="E31" s="121"/>
      <c r="F31" s="121"/>
      <c r="G31" s="77">
        <v>350</v>
      </c>
      <c r="H31" s="77">
        <v>400</v>
      </c>
      <c r="I31" s="77">
        <v>400</v>
      </c>
      <c r="J31" s="77">
        <v>350</v>
      </c>
      <c r="K31" s="77">
        <v>250</v>
      </c>
      <c r="L31" s="77"/>
      <c r="M31" s="122">
        <f>G31+H31+I31+J31+K31+L31</f>
        <v>1750</v>
      </c>
      <c r="N31" s="122"/>
      <c r="O31" s="22"/>
      <c r="P31" s="21"/>
      <c r="S31" s="81"/>
      <c r="T31" s="81"/>
      <c r="U31" s="81"/>
      <c r="V31" s="81"/>
    </row>
    <row r="32" spans="1:23" s="7" customFormat="1" ht="24.95" customHeight="1">
      <c r="A32" s="119" t="s">
        <v>30</v>
      </c>
      <c r="B32" s="119"/>
      <c r="C32" s="119"/>
      <c r="D32" s="121"/>
      <c r="E32" s="121"/>
      <c r="F32" s="121"/>
      <c r="G32" s="77">
        <f t="shared" ref="G32:K32" si="8">G26</f>
        <v>354</v>
      </c>
      <c r="H32" s="77">
        <f t="shared" si="8"/>
        <v>415</v>
      </c>
      <c r="I32" s="77">
        <f t="shared" si="8"/>
        <v>414</v>
      </c>
      <c r="J32" s="77">
        <f t="shared" si="8"/>
        <v>342</v>
      </c>
      <c r="K32" s="77">
        <f t="shared" si="8"/>
        <v>260</v>
      </c>
      <c r="L32" s="77"/>
      <c r="M32" s="122">
        <f>G32+H32+I32+J32+K32+L32</f>
        <v>1785</v>
      </c>
      <c r="N32" s="122"/>
      <c r="O32" s="22"/>
      <c r="P32" s="21"/>
      <c r="S32" s="81"/>
      <c r="T32" s="81"/>
      <c r="U32" s="81"/>
      <c r="V32" s="81"/>
    </row>
  </sheetData>
  <mergeCells count="40">
    <mergeCell ref="A31:C31"/>
    <mergeCell ref="D31:F32"/>
    <mergeCell ref="M31:N31"/>
    <mergeCell ref="A32:C32"/>
    <mergeCell ref="M32:N32"/>
    <mergeCell ref="A27:V27"/>
    <mergeCell ref="A28:L28"/>
    <mergeCell ref="P28:R28"/>
    <mergeCell ref="A29:V29"/>
    <mergeCell ref="A30:C30"/>
    <mergeCell ref="D30:F30"/>
    <mergeCell ref="M30:N30"/>
    <mergeCell ref="D19:F25"/>
    <mergeCell ref="P19:P25"/>
    <mergeCell ref="Q19:Q25"/>
    <mergeCell ref="R19:R25"/>
    <mergeCell ref="A26:F26"/>
    <mergeCell ref="P26:R26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AADE2-8D55-498B-A7A7-F31431EC5AD1}">
  <sheetPr>
    <tabColor rgb="FFFFC000"/>
    <pageSetUpPr fitToPage="1"/>
  </sheetPr>
  <dimension ref="A1:W32"/>
  <sheetViews>
    <sheetView showGridLines="0" view="pageBreakPreview" topLeftCell="A15" zoomScaleNormal="62" zoomScaleSheetLayoutView="100" workbookViewId="0">
      <selection activeCell="S28" sqref="S28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82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227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228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1060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M32</f>
        <v>1084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24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N28</f>
        <v>19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89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78" t="s">
        <v>22</v>
      </c>
      <c r="J18" s="78" t="s">
        <v>93</v>
      </c>
      <c r="K18" s="78" t="s">
        <v>94</v>
      </c>
      <c r="L18" s="78" t="s">
        <v>95</v>
      </c>
      <c r="M18" s="106"/>
      <c r="N18" s="106"/>
      <c r="O18" s="106"/>
      <c r="P18" s="80" t="s">
        <v>22</v>
      </c>
      <c r="Q18" s="80" t="s">
        <v>23</v>
      </c>
      <c r="R18" s="80" t="s">
        <v>24</v>
      </c>
      <c r="S18" s="79" t="s">
        <v>6</v>
      </c>
      <c r="T18" s="79" t="s">
        <v>7</v>
      </c>
      <c r="U18" s="79" t="s">
        <v>8</v>
      </c>
      <c r="V18" s="79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3</v>
      </c>
      <c r="D19" s="109" t="s">
        <v>229</v>
      </c>
      <c r="E19" s="109"/>
      <c r="F19" s="109"/>
      <c r="G19" s="17">
        <v>65</v>
      </c>
      <c r="H19" s="18"/>
      <c r="I19" s="18"/>
      <c r="J19" s="19"/>
      <c r="K19" s="19"/>
      <c r="L19" s="19"/>
      <c r="M19" s="18">
        <f t="shared" ref="M19:M25" si="0">SUM(G19:L19)</f>
        <v>65</v>
      </c>
      <c r="N19" s="20">
        <v>3</v>
      </c>
      <c r="O19" s="28">
        <f t="shared" ref="O19:O25" si="1">M19*N19</f>
        <v>195</v>
      </c>
      <c r="P19" s="110">
        <v>55</v>
      </c>
      <c r="Q19" s="110">
        <v>28</v>
      </c>
      <c r="R19" s="111">
        <v>28</v>
      </c>
      <c r="S19" s="39">
        <v>8</v>
      </c>
      <c r="T19" s="39">
        <f>S19+1</f>
        <v>9</v>
      </c>
      <c r="U19" s="39">
        <f t="shared" ref="U19:U25" si="2">S19*N19</f>
        <v>24</v>
      </c>
      <c r="V19" s="39">
        <f t="shared" ref="V19:V25" si="3">T19*N19</f>
        <v>27</v>
      </c>
      <c r="W19" s="3"/>
    </row>
    <row r="20" spans="1:23" s="4" customFormat="1" ht="18" customHeight="1">
      <c r="A20" s="25">
        <f>C19+1</f>
        <v>4</v>
      </c>
      <c r="B20" s="26" t="s">
        <v>25</v>
      </c>
      <c r="C20" s="25">
        <f>C19+N20</f>
        <v>7</v>
      </c>
      <c r="D20" s="109"/>
      <c r="E20" s="109"/>
      <c r="F20" s="109"/>
      <c r="G20" s="17"/>
      <c r="H20" s="18">
        <v>60</v>
      </c>
      <c r="I20" s="18"/>
      <c r="J20" s="19"/>
      <c r="K20" s="19"/>
      <c r="L20" s="19"/>
      <c r="M20" s="18">
        <f t="shared" si="0"/>
        <v>60</v>
      </c>
      <c r="N20" s="20">
        <v>4</v>
      </c>
      <c r="O20" s="28">
        <f t="shared" si="1"/>
        <v>240</v>
      </c>
      <c r="P20" s="110"/>
      <c r="Q20" s="110"/>
      <c r="R20" s="111"/>
      <c r="S20" s="39">
        <v>8.1</v>
      </c>
      <c r="T20" s="39">
        <f t="shared" ref="T20:T25" si="4">S20+1</f>
        <v>9.1</v>
      </c>
      <c r="U20" s="39">
        <f t="shared" si="2"/>
        <v>32.4</v>
      </c>
      <c r="V20" s="39">
        <f t="shared" si="3"/>
        <v>36.4</v>
      </c>
      <c r="W20" s="3"/>
    </row>
    <row r="21" spans="1:23" s="4" customFormat="1" ht="18" customHeight="1">
      <c r="A21" s="25">
        <f t="shared" ref="A21:A25" si="5">C20+1</f>
        <v>8</v>
      </c>
      <c r="B21" s="26" t="s">
        <v>25</v>
      </c>
      <c r="C21" s="25">
        <f>C20+N21</f>
        <v>11</v>
      </c>
      <c r="D21" s="109"/>
      <c r="E21" s="109"/>
      <c r="F21" s="109"/>
      <c r="G21" s="17"/>
      <c r="H21" s="18"/>
      <c r="I21" s="18">
        <v>60</v>
      </c>
      <c r="J21" s="19"/>
      <c r="K21" s="19"/>
      <c r="L21" s="19"/>
      <c r="M21" s="18">
        <f t="shared" si="0"/>
        <v>60</v>
      </c>
      <c r="N21" s="20">
        <v>4</v>
      </c>
      <c r="O21" s="28">
        <f t="shared" si="1"/>
        <v>240</v>
      </c>
      <c r="P21" s="110"/>
      <c r="Q21" s="110"/>
      <c r="R21" s="111"/>
      <c r="S21" s="39">
        <v>8.8000000000000007</v>
      </c>
      <c r="T21" s="39">
        <f t="shared" si="4"/>
        <v>9.8000000000000007</v>
      </c>
      <c r="U21" s="39">
        <f t="shared" si="2"/>
        <v>35.200000000000003</v>
      </c>
      <c r="V21" s="39">
        <f t="shared" si="3"/>
        <v>39.200000000000003</v>
      </c>
      <c r="W21" s="3"/>
    </row>
    <row r="22" spans="1:23" s="4" customFormat="1" ht="18" customHeight="1">
      <c r="A22" s="25">
        <f t="shared" si="5"/>
        <v>12</v>
      </c>
      <c r="B22" s="26" t="s">
        <v>25</v>
      </c>
      <c r="C22" s="25">
        <f>C21+N22</f>
        <v>14</v>
      </c>
      <c r="D22" s="109"/>
      <c r="E22" s="109"/>
      <c r="F22" s="109"/>
      <c r="G22" s="17"/>
      <c r="H22" s="18"/>
      <c r="I22" s="18"/>
      <c r="J22" s="19">
        <v>55</v>
      </c>
      <c r="K22" s="19"/>
      <c r="L22" s="19"/>
      <c r="M22" s="18">
        <f t="shared" si="0"/>
        <v>55</v>
      </c>
      <c r="N22" s="20">
        <v>3</v>
      </c>
      <c r="O22" s="28">
        <f t="shared" si="1"/>
        <v>165</v>
      </c>
      <c r="P22" s="110"/>
      <c r="Q22" s="110"/>
      <c r="R22" s="111"/>
      <c r="S22" s="39">
        <v>8.6</v>
      </c>
      <c r="T22" s="39">
        <f t="shared" si="4"/>
        <v>9.6</v>
      </c>
      <c r="U22" s="39">
        <f t="shared" si="2"/>
        <v>25.799999999999997</v>
      </c>
      <c r="V22" s="39">
        <f t="shared" si="3"/>
        <v>28.799999999999997</v>
      </c>
      <c r="W22" s="3"/>
    </row>
    <row r="23" spans="1:23" s="4" customFormat="1" ht="18" customHeight="1">
      <c r="A23" s="25">
        <f t="shared" si="5"/>
        <v>15</v>
      </c>
      <c r="B23" s="26" t="s">
        <v>25</v>
      </c>
      <c r="C23" s="25">
        <f>C22+N23</f>
        <v>17</v>
      </c>
      <c r="D23" s="109"/>
      <c r="E23" s="109"/>
      <c r="F23" s="109"/>
      <c r="G23" s="17"/>
      <c r="H23" s="18"/>
      <c r="I23" s="18"/>
      <c r="J23" s="19"/>
      <c r="K23" s="19">
        <v>50</v>
      </c>
      <c r="L23" s="19"/>
      <c r="M23" s="18">
        <f t="shared" si="0"/>
        <v>50</v>
      </c>
      <c r="N23" s="20">
        <v>3</v>
      </c>
      <c r="O23" s="28">
        <f t="shared" si="1"/>
        <v>150</v>
      </c>
      <c r="P23" s="110"/>
      <c r="Q23" s="110"/>
      <c r="R23" s="111"/>
      <c r="S23" s="39">
        <v>8.4</v>
      </c>
      <c r="T23" s="39">
        <f t="shared" si="4"/>
        <v>9.4</v>
      </c>
      <c r="U23" s="39">
        <f t="shared" si="2"/>
        <v>25.200000000000003</v>
      </c>
      <c r="V23" s="39">
        <f t="shared" si="3"/>
        <v>28.200000000000003</v>
      </c>
      <c r="W23" s="3"/>
    </row>
    <row r="24" spans="1:23" s="4" customFormat="1" ht="18" customHeight="1">
      <c r="A24" s="25">
        <f t="shared" si="5"/>
        <v>18</v>
      </c>
      <c r="B24" s="26" t="s">
        <v>25</v>
      </c>
      <c r="C24" s="25">
        <f t="shared" ref="C24:C25" si="6">C23+N24</f>
        <v>18</v>
      </c>
      <c r="D24" s="109"/>
      <c r="E24" s="109"/>
      <c r="F24" s="109"/>
      <c r="G24" s="17">
        <v>12</v>
      </c>
      <c r="H24" s="18">
        <v>9</v>
      </c>
      <c r="I24" s="18"/>
      <c r="J24" s="19"/>
      <c r="K24" s="19">
        <v>19</v>
      </c>
      <c r="L24" s="19"/>
      <c r="M24" s="18">
        <f t="shared" si="0"/>
        <v>40</v>
      </c>
      <c r="N24" s="20">
        <v>1</v>
      </c>
      <c r="O24" s="28">
        <f t="shared" si="1"/>
        <v>40</v>
      </c>
      <c r="P24" s="110"/>
      <c r="Q24" s="110"/>
      <c r="R24" s="111"/>
      <c r="S24" s="39">
        <v>8.3000000000000007</v>
      </c>
      <c r="T24" s="39">
        <f t="shared" si="4"/>
        <v>9.3000000000000007</v>
      </c>
      <c r="U24" s="39">
        <f t="shared" si="2"/>
        <v>8.3000000000000007</v>
      </c>
      <c r="V24" s="39">
        <f t="shared" si="3"/>
        <v>9.3000000000000007</v>
      </c>
      <c r="W24" s="3"/>
    </row>
    <row r="25" spans="1:23" s="4" customFormat="1" ht="18" customHeight="1">
      <c r="A25" s="25">
        <f t="shared" si="5"/>
        <v>19</v>
      </c>
      <c r="B25" s="26" t="s">
        <v>25</v>
      </c>
      <c r="C25" s="25">
        <f t="shared" si="6"/>
        <v>19</v>
      </c>
      <c r="D25" s="109"/>
      <c r="E25" s="109"/>
      <c r="F25" s="109"/>
      <c r="G25" s="17"/>
      <c r="H25" s="18"/>
      <c r="I25" s="18">
        <v>17</v>
      </c>
      <c r="J25" s="19">
        <v>37</v>
      </c>
      <c r="K25" s="19"/>
      <c r="L25" s="19"/>
      <c r="M25" s="18">
        <f t="shared" si="0"/>
        <v>54</v>
      </c>
      <c r="N25" s="20">
        <v>1</v>
      </c>
      <c r="O25" s="28">
        <f t="shared" si="1"/>
        <v>54</v>
      </c>
      <c r="P25" s="110"/>
      <c r="Q25" s="110"/>
      <c r="R25" s="111"/>
      <c r="S25" s="39">
        <v>6</v>
      </c>
      <c r="T25" s="39">
        <f t="shared" si="4"/>
        <v>7</v>
      </c>
      <c r="U25" s="39">
        <f t="shared" si="2"/>
        <v>6</v>
      </c>
      <c r="V25" s="39">
        <f t="shared" si="3"/>
        <v>7</v>
      </c>
      <c r="W25" s="3"/>
    </row>
    <row r="26" spans="1:23" s="23" customFormat="1" ht="21.95" customHeight="1">
      <c r="A26" s="112" t="s">
        <v>2</v>
      </c>
      <c r="B26" s="112"/>
      <c r="C26" s="112"/>
      <c r="D26" s="112"/>
      <c r="E26" s="112"/>
      <c r="F26" s="112"/>
      <c r="G26" s="52">
        <f>O19+G24</f>
        <v>207</v>
      </c>
      <c r="H26" s="53">
        <f>O20+H24</f>
        <v>249</v>
      </c>
      <c r="I26" s="53">
        <f>O21+I25</f>
        <v>257</v>
      </c>
      <c r="J26" s="53">
        <f>O22+J25</f>
        <v>202</v>
      </c>
      <c r="K26" s="53">
        <f>O23+K24</f>
        <v>169</v>
      </c>
      <c r="L26" s="53"/>
      <c r="M26" s="54"/>
      <c r="N26" s="55">
        <f>SUM(N19:N25)</f>
        <v>19</v>
      </c>
      <c r="O26" s="56">
        <f>SUM(O19:O25)</f>
        <v>1084</v>
      </c>
      <c r="P26" s="113">
        <f>(P19*Q19*R19)/1000000*N26</f>
        <v>0.81928000000000001</v>
      </c>
      <c r="Q26" s="113"/>
      <c r="R26" s="113"/>
      <c r="S26" s="57"/>
      <c r="T26" s="58"/>
      <c r="U26" s="59">
        <f>SUM(U19:U25)</f>
        <v>156.9</v>
      </c>
      <c r="V26" s="59">
        <f>SUM(V19:V25)</f>
        <v>175.89999999999998</v>
      </c>
    </row>
    <row r="27" spans="1:23" ht="15" customHeight="1">
      <c r="A27" s="114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6"/>
      <c r="W27" s="2"/>
    </row>
    <row r="28" spans="1:23" s="6" customFormat="1" ht="15" customHeight="1">
      <c r="A28" s="103" t="s">
        <v>5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46"/>
      <c r="N28" s="47">
        <f>N26</f>
        <v>19</v>
      </c>
      <c r="O28" s="48">
        <f>O26</f>
        <v>1084</v>
      </c>
      <c r="P28" s="117">
        <f>P26</f>
        <v>0.81928000000000001</v>
      </c>
      <c r="Q28" s="117"/>
      <c r="R28" s="117"/>
      <c r="S28" s="49"/>
      <c r="T28" s="49"/>
      <c r="U28" s="50">
        <f>U26</f>
        <v>156.9</v>
      </c>
      <c r="V28" s="50">
        <f>V26</f>
        <v>175.89999999999998</v>
      </c>
      <c r="W28" s="5"/>
    </row>
    <row r="29" spans="1:23" ht="15" customHeight="1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</row>
    <row r="30" spans="1:23" s="7" customFormat="1" ht="30" customHeight="1">
      <c r="A30" s="106" t="s">
        <v>10</v>
      </c>
      <c r="B30" s="106"/>
      <c r="C30" s="106"/>
      <c r="D30" s="103" t="str">
        <f>D17</f>
        <v>COLOR</v>
      </c>
      <c r="E30" s="103"/>
      <c r="F30" s="103"/>
      <c r="G30" s="51" t="str">
        <f t="shared" ref="G30:L30" si="7">G18</f>
        <v>S</v>
      </c>
      <c r="H30" s="51" t="str">
        <f t="shared" si="7"/>
        <v>M</v>
      </c>
      <c r="I30" s="51" t="str">
        <f t="shared" si="7"/>
        <v>L</v>
      </c>
      <c r="J30" s="51" t="str">
        <f t="shared" si="7"/>
        <v>XL</v>
      </c>
      <c r="K30" s="51" t="str">
        <f t="shared" si="7"/>
        <v>XXL</v>
      </c>
      <c r="L30" s="51" t="str">
        <f t="shared" si="7"/>
        <v>3XL</v>
      </c>
      <c r="M30" s="103" t="s">
        <v>2</v>
      </c>
      <c r="N30" s="103"/>
      <c r="O30" s="81"/>
      <c r="P30" s="81"/>
      <c r="S30" s="81"/>
      <c r="T30" s="81"/>
      <c r="U30" s="81"/>
      <c r="V30" s="81"/>
    </row>
    <row r="31" spans="1:23" s="7" customFormat="1" ht="24.95" customHeight="1">
      <c r="A31" s="119" t="s">
        <v>12</v>
      </c>
      <c r="B31" s="119"/>
      <c r="C31" s="119"/>
      <c r="D31" s="120" t="str">
        <f>D19</f>
        <v>Light Blue</v>
      </c>
      <c r="E31" s="121"/>
      <c r="F31" s="121"/>
      <c r="G31" s="77">
        <v>200</v>
      </c>
      <c r="H31" s="77">
        <v>250</v>
      </c>
      <c r="I31" s="77">
        <v>250</v>
      </c>
      <c r="J31" s="77">
        <v>200</v>
      </c>
      <c r="K31" s="77">
        <v>160</v>
      </c>
      <c r="L31" s="77"/>
      <c r="M31" s="122">
        <f>G31+H31+I31+J31+K31+L31</f>
        <v>1060</v>
      </c>
      <c r="N31" s="122"/>
      <c r="O31" s="22"/>
      <c r="P31" s="21"/>
      <c r="S31" s="81"/>
      <c r="T31" s="81"/>
      <c r="U31" s="81"/>
      <c r="V31" s="81"/>
    </row>
    <row r="32" spans="1:23" s="7" customFormat="1" ht="24.95" customHeight="1">
      <c r="A32" s="119" t="s">
        <v>30</v>
      </c>
      <c r="B32" s="119"/>
      <c r="C32" s="119"/>
      <c r="D32" s="121"/>
      <c r="E32" s="121"/>
      <c r="F32" s="121"/>
      <c r="G32" s="77">
        <f t="shared" ref="G32:K32" si="8">G26</f>
        <v>207</v>
      </c>
      <c r="H32" s="77">
        <f t="shared" si="8"/>
        <v>249</v>
      </c>
      <c r="I32" s="77">
        <f t="shared" si="8"/>
        <v>257</v>
      </c>
      <c r="J32" s="77">
        <f t="shared" si="8"/>
        <v>202</v>
      </c>
      <c r="K32" s="77">
        <f t="shared" si="8"/>
        <v>169</v>
      </c>
      <c r="L32" s="77">
        <f>L26</f>
        <v>0</v>
      </c>
      <c r="M32" s="122">
        <f>G32+H32+I32+J32+K32+L32</f>
        <v>1084</v>
      </c>
      <c r="N32" s="122"/>
      <c r="O32" s="22"/>
      <c r="P32" s="21"/>
      <c r="S32" s="81"/>
      <c r="T32" s="81"/>
      <c r="U32" s="81"/>
      <c r="V32" s="81"/>
    </row>
  </sheetData>
  <mergeCells count="40">
    <mergeCell ref="A31:C31"/>
    <mergeCell ref="D31:F32"/>
    <mergeCell ref="M31:N31"/>
    <mergeCell ref="A32:C32"/>
    <mergeCell ref="M32:N32"/>
    <mergeCell ref="A27:V27"/>
    <mergeCell ref="A28:L28"/>
    <mergeCell ref="P28:R28"/>
    <mergeCell ref="A29:V29"/>
    <mergeCell ref="A30:C30"/>
    <mergeCell ref="D30:F30"/>
    <mergeCell ref="M30:N30"/>
    <mergeCell ref="D19:F25"/>
    <mergeCell ref="P19:P25"/>
    <mergeCell ref="Q19:Q25"/>
    <mergeCell ref="R19:R25"/>
    <mergeCell ref="A26:F26"/>
    <mergeCell ref="P26:R26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CD289-A9DE-4ABF-AC00-B63E9834F539}">
  <sheetPr>
    <tabColor rgb="FFFFC000"/>
    <pageSetUpPr fitToPage="1"/>
  </sheetPr>
  <dimension ref="A1:W31"/>
  <sheetViews>
    <sheetView showGridLines="0" view="pageBreakPreview" topLeftCell="A18" zoomScaleNormal="62" zoomScaleSheetLayoutView="100" workbookViewId="0">
      <selection activeCell="S28" sqref="S28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82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230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231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1180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M31</f>
        <v>1207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27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N27</f>
        <v>23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89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78" t="s">
        <v>22</v>
      </c>
      <c r="J18" s="78" t="s">
        <v>93</v>
      </c>
      <c r="K18" s="78" t="s">
        <v>94</v>
      </c>
      <c r="L18" s="78" t="s">
        <v>95</v>
      </c>
      <c r="M18" s="106"/>
      <c r="N18" s="106"/>
      <c r="O18" s="106"/>
      <c r="P18" s="80" t="s">
        <v>22</v>
      </c>
      <c r="Q18" s="80" t="s">
        <v>23</v>
      </c>
      <c r="R18" s="80" t="s">
        <v>24</v>
      </c>
      <c r="S18" s="79" t="s">
        <v>6</v>
      </c>
      <c r="T18" s="79" t="s">
        <v>7</v>
      </c>
      <c r="U18" s="79" t="s">
        <v>8</v>
      </c>
      <c r="V18" s="79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3</v>
      </c>
      <c r="D19" s="109" t="s">
        <v>218</v>
      </c>
      <c r="E19" s="109"/>
      <c r="F19" s="109"/>
      <c r="G19" s="17">
        <v>65</v>
      </c>
      <c r="H19" s="18"/>
      <c r="I19" s="18"/>
      <c r="J19" s="19"/>
      <c r="K19" s="19"/>
      <c r="L19" s="19"/>
      <c r="M19" s="18">
        <f t="shared" ref="M19:M24" si="0">SUM(G19:L19)</f>
        <v>65</v>
      </c>
      <c r="N19" s="20">
        <v>3</v>
      </c>
      <c r="O19" s="28">
        <f t="shared" ref="O19:O24" si="1">M19*N19</f>
        <v>195</v>
      </c>
      <c r="P19" s="110">
        <v>55</v>
      </c>
      <c r="Q19" s="110">
        <v>28</v>
      </c>
      <c r="R19" s="111">
        <v>28</v>
      </c>
      <c r="S19" s="39">
        <v>8.5</v>
      </c>
      <c r="T19" s="39">
        <f>S19+1</f>
        <v>9.5</v>
      </c>
      <c r="U19" s="39">
        <f t="shared" ref="U19:U24" si="2">S19*N19</f>
        <v>25.5</v>
      </c>
      <c r="V19" s="39">
        <f t="shared" ref="V19:V24" si="3">T19*N19</f>
        <v>28.5</v>
      </c>
      <c r="W19" s="3"/>
    </row>
    <row r="20" spans="1:23" s="4" customFormat="1" ht="18" customHeight="1">
      <c r="A20" s="25">
        <f>C19+1</f>
        <v>4</v>
      </c>
      <c r="B20" s="26" t="s">
        <v>25</v>
      </c>
      <c r="C20" s="25">
        <f>C19+N20</f>
        <v>7</v>
      </c>
      <c r="D20" s="109"/>
      <c r="E20" s="109"/>
      <c r="F20" s="109"/>
      <c r="G20" s="17"/>
      <c r="H20" s="18">
        <v>60</v>
      </c>
      <c r="I20" s="18"/>
      <c r="J20" s="19"/>
      <c r="K20" s="19"/>
      <c r="L20" s="19"/>
      <c r="M20" s="18">
        <f t="shared" si="0"/>
        <v>60</v>
      </c>
      <c r="N20" s="20">
        <v>4</v>
      </c>
      <c r="O20" s="28">
        <f t="shared" si="1"/>
        <v>240</v>
      </c>
      <c r="P20" s="110"/>
      <c r="Q20" s="110"/>
      <c r="R20" s="111"/>
      <c r="S20" s="39">
        <v>8.4</v>
      </c>
      <c r="T20" s="39">
        <f t="shared" ref="T20:T24" si="4">S20+1</f>
        <v>9.4</v>
      </c>
      <c r="U20" s="39">
        <f t="shared" si="2"/>
        <v>33.6</v>
      </c>
      <c r="V20" s="39">
        <f t="shared" si="3"/>
        <v>37.6</v>
      </c>
      <c r="W20" s="3"/>
    </row>
    <row r="21" spans="1:23" s="4" customFormat="1" ht="18" customHeight="1">
      <c r="A21" s="25">
        <f t="shared" ref="A21:A24" si="5">C20+1</f>
        <v>8</v>
      </c>
      <c r="B21" s="26" t="s">
        <v>25</v>
      </c>
      <c r="C21" s="25">
        <f>C20+N21</f>
        <v>13</v>
      </c>
      <c r="D21" s="109"/>
      <c r="E21" s="109"/>
      <c r="F21" s="109"/>
      <c r="G21" s="17"/>
      <c r="H21" s="18"/>
      <c r="I21" s="18">
        <v>50</v>
      </c>
      <c r="J21" s="19"/>
      <c r="K21" s="19"/>
      <c r="L21" s="19"/>
      <c r="M21" s="18">
        <f t="shared" si="0"/>
        <v>50</v>
      </c>
      <c r="N21" s="20">
        <v>6</v>
      </c>
      <c r="O21" s="28">
        <f t="shared" si="1"/>
        <v>300</v>
      </c>
      <c r="P21" s="110"/>
      <c r="Q21" s="110"/>
      <c r="R21" s="111"/>
      <c r="S21" s="39">
        <v>7.8</v>
      </c>
      <c r="T21" s="39">
        <f t="shared" si="4"/>
        <v>8.8000000000000007</v>
      </c>
      <c r="U21" s="39">
        <f t="shared" si="2"/>
        <v>46.8</v>
      </c>
      <c r="V21" s="39">
        <f t="shared" si="3"/>
        <v>52.800000000000004</v>
      </c>
      <c r="W21" s="3"/>
    </row>
    <row r="22" spans="1:23" s="4" customFormat="1" ht="18" customHeight="1">
      <c r="A22" s="25">
        <f t="shared" si="5"/>
        <v>14</v>
      </c>
      <c r="B22" s="26" t="s">
        <v>25</v>
      </c>
      <c r="C22" s="25">
        <f>C21+N22</f>
        <v>18</v>
      </c>
      <c r="D22" s="109"/>
      <c r="E22" s="109"/>
      <c r="F22" s="109"/>
      <c r="G22" s="17"/>
      <c r="H22" s="18"/>
      <c r="I22" s="18"/>
      <c r="J22" s="19">
        <v>45</v>
      </c>
      <c r="K22" s="19"/>
      <c r="L22" s="19"/>
      <c r="M22" s="18">
        <f t="shared" si="0"/>
        <v>45</v>
      </c>
      <c r="N22" s="20">
        <v>5</v>
      </c>
      <c r="O22" s="28">
        <f t="shared" si="1"/>
        <v>225</v>
      </c>
      <c r="P22" s="110"/>
      <c r="Q22" s="110"/>
      <c r="R22" s="111"/>
      <c r="S22" s="39">
        <v>7.4</v>
      </c>
      <c r="T22" s="39">
        <f t="shared" si="4"/>
        <v>8.4</v>
      </c>
      <c r="U22" s="39">
        <f t="shared" si="2"/>
        <v>37</v>
      </c>
      <c r="V22" s="39">
        <f t="shared" si="3"/>
        <v>42</v>
      </c>
      <c r="W22" s="3"/>
    </row>
    <row r="23" spans="1:23" s="4" customFormat="1" ht="18" customHeight="1">
      <c r="A23" s="25">
        <f t="shared" si="5"/>
        <v>19</v>
      </c>
      <c r="B23" s="26" t="s">
        <v>25</v>
      </c>
      <c r="C23" s="25">
        <f>C22+N23</f>
        <v>22</v>
      </c>
      <c r="D23" s="109"/>
      <c r="E23" s="109"/>
      <c r="F23" s="109"/>
      <c r="G23" s="17"/>
      <c r="H23" s="18"/>
      <c r="I23" s="18"/>
      <c r="J23" s="19"/>
      <c r="K23" s="19">
        <v>45</v>
      </c>
      <c r="L23" s="19"/>
      <c r="M23" s="18">
        <f t="shared" si="0"/>
        <v>45</v>
      </c>
      <c r="N23" s="20">
        <v>4</v>
      </c>
      <c r="O23" s="28">
        <f t="shared" si="1"/>
        <v>180</v>
      </c>
      <c r="P23" s="110"/>
      <c r="Q23" s="110"/>
      <c r="R23" s="111"/>
      <c r="S23" s="39">
        <v>7.9</v>
      </c>
      <c r="T23" s="39">
        <f t="shared" si="4"/>
        <v>8.9</v>
      </c>
      <c r="U23" s="39">
        <f t="shared" si="2"/>
        <v>31.6</v>
      </c>
      <c r="V23" s="39">
        <f t="shared" si="3"/>
        <v>35.6</v>
      </c>
      <c r="W23" s="3"/>
    </row>
    <row r="24" spans="1:23" s="4" customFormat="1" ht="18" customHeight="1">
      <c r="A24" s="25">
        <f t="shared" si="5"/>
        <v>23</v>
      </c>
      <c r="B24" s="26" t="s">
        <v>25</v>
      </c>
      <c r="C24" s="25">
        <f t="shared" ref="C24" si="6">C23+N24</f>
        <v>23</v>
      </c>
      <c r="D24" s="109"/>
      <c r="E24" s="109"/>
      <c r="F24" s="109"/>
      <c r="G24" s="17">
        <v>13</v>
      </c>
      <c r="H24" s="18">
        <v>11</v>
      </c>
      <c r="I24" s="18">
        <v>10</v>
      </c>
      <c r="J24" s="19">
        <v>31</v>
      </c>
      <c r="K24" s="19">
        <v>2</v>
      </c>
      <c r="L24" s="19"/>
      <c r="M24" s="18">
        <f t="shared" si="0"/>
        <v>67</v>
      </c>
      <c r="N24" s="20">
        <v>1</v>
      </c>
      <c r="O24" s="28">
        <f t="shared" si="1"/>
        <v>67</v>
      </c>
      <c r="P24" s="110"/>
      <c r="Q24" s="110"/>
      <c r="R24" s="111"/>
      <c r="S24" s="39">
        <v>10.3</v>
      </c>
      <c r="T24" s="39">
        <f t="shared" si="4"/>
        <v>11.3</v>
      </c>
      <c r="U24" s="39">
        <f t="shared" si="2"/>
        <v>10.3</v>
      </c>
      <c r="V24" s="39">
        <f t="shared" si="3"/>
        <v>11.3</v>
      </c>
      <c r="W24" s="3"/>
    </row>
    <row r="25" spans="1:23" s="23" customFormat="1" ht="21.95" customHeight="1">
      <c r="A25" s="112" t="s">
        <v>2</v>
      </c>
      <c r="B25" s="112"/>
      <c r="C25" s="112"/>
      <c r="D25" s="112"/>
      <c r="E25" s="112"/>
      <c r="F25" s="112"/>
      <c r="G25" s="52">
        <f>O19+G24</f>
        <v>208</v>
      </c>
      <c r="H25" s="53">
        <f>O20+H24</f>
        <v>251</v>
      </c>
      <c r="I25" s="53">
        <f>O21+I24</f>
        <v>310</v>
      </c>
      <c r="J25" s="53">
        <f>O22+J24</f>
        <v>256</v>
      </c>
      <c r="K25" s="53">
        <f>O23+K24</f>
        <v>182</v>
      </c>
      <c r="L25" s="53"/>
      <c r="M25" s="54"/>
      <c r="N25" s="55">
        <f>SUM(N19:N24)</f>
        <v>23</v>
      </c>
      <c r="O25" s="56">
        <f>SUM(O19:O24)</f>
        <v>1207</v>
      </c>
      <c r="P25" s="113">
        <f>(P19*Q19*R19)/1000000*N25</f>
        <v>0.99175999999999997</v>
      </c>
      <c r="Q25" s="113"/>
      <c r="R25" s="113"/>
      <c r="S25" s="57"/>
      <c r="T25" s="58"/>
      <c r="U25" s="59">
        <f>SUM(U19:U24)</f>
        <v>184.8</v>
      </c>
      <c r="V25" s="59">
        <f>SUM(V19:V24)</f>
        <v>207.8</v>
      </c>
    </row>
    <row r="26" spans="1:23" ht="15" customHeight="1">
      <c r="A26" s="114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6"/>
      <c r="W26" s="2"/>
    </row>
    <row r="27" spans="1:23" s="6" customFormat="1" ht="15" customHeight="1">
      <c r="A27" s="103" t="s">
        <v>5</v>
      </c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46"/>
      <c r="N27" s="47">
        <f>N25</f>
        <v>23</v>
      </c>
      <c r="O27" s="48">
        <f>O25</f>
        <v>1207</v>
      </c>
      <c r="P27" s="117">
        <f>P25</f>
        <v>0.99175999999999997</v>
      </c>
      <c r="Q27" s="117"/>
      <c r="R27" s="117"/>
      <c r="S27" s="49"/>
      <c r="T27" s="49"/>
      <c r="U27" s="50">
        <f>U25</f>
        <v>184.8</v>
      </c>
      <c r="V27" s="50">
        <f>V25</f>
        <v>207.8</v>
      </c>
      <c r="W27" s="5"/>
    </row>
    <row r="28" spans="1:23" ht="15" customHeight="1">
      <c r="A28" s="118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</row>
    <row r="29" spans="1:23" s="7" customFormat="1" ht="30" customHeight="1">
      <c r="A29" s="106" t="s">
        <v>10</v>
      </c>
      <c r="B29" s="106"/>
      <c r="C29" s="106"/>
      <c r="D29" s="103" t="str">
        <f>D17</f>
        <v>COLOR</v>
      </c>
      <c r="E29" s="103"/>
      <c r="F29" s="103"/>
      <c r="G29" s="51" t="str">
        <f t="shared" ref="G29:L29" si="7">G18</f>
        <v>S</v>
      </c>
      <c r="H29" s="51" t="str">
        <f t="shared" si="7"/>
        <v>M</v>
      </c>
      <c r="I29" s="51" t="str">
        <f t="shared" si="7"/>
        <v>L</v>
      </c>
      <c r="J29" s="51" t="str">
        <f t="shared" si="7"/>
        <v>XL</v>
      </c>
      <c r="K29" s="51" t="str">
        <f t="shared" si="7"/>
        <v>XXL</v>
      </c>
      <c r="L29" s="51" t="str">
        <f t="shared" si="7"/>
        <v>3XL</v>
      </c>
      <c r="M29" s="103" t="s">
        <v>2</v>
      </c>
      <c r="N29" s="103"/>
      <c r="O29" s="81"/>
      <c r="P29" s="81"/>
      <c r="S29" s="81"/>
      <c r="T29" s="81"/>
      <c r="U29" s="81"/>
      <c r="V29" s="81"/>
    </row>
    <row r="30" spans="1:23" s="7" customFormat="1" ht="24.95" customHeight="1">
      <c r="A30" s="119" t="s">
        <v>12</v>
      </c>
      <c r="B30" s="119"/>
      <c r="C30" s="119"/>
      <c r="D30" s="120" t="str">
        <f>D19</f>
        <v>Dusky Blue</v>
      </c>
      <c r="E30" s="121"/>
      <c r="F30" s="121"/>
      <c r="G30" s="77">
        <v>200</v>
      </c>
      <c r="H30" s="77">
        <v>250</v>
      </c>
      <c r="I30" s="77">
        <v>300</v>
      </c>
      <c r="J30" s="77">
        <v>250</v>
      </c>
      <c r="K30" s="77">
        <v>180</v>
      </c>
      <c r="L30" s="77"/>
      <c r="M30" s="122">
        <f>G30+H30+I30+J30+K30+L30</f>
        <v>1180</v>
      </c>
      <c r="N30" s="122"/>
      <c r="O30" s="22"/>
      <c r="P30" s="21"/>
      <c r="S30" s="81"/>
      <c r="T30" s="81"/>
      <c r="U30" s="81"/>
      <c r="V30" s="81"/>
    </row>
    <row r="31" spans="1:23" s="7" customFormat="1" ht="24.95" customHeight="1">
      <c r="A31" s="119" t="s">
        <v>30</v>
      </c>
      <c r="B31" s="119"/>
      <c r="C31" s="119"/>
      <c r="D31" s="121"/>
      <c r="E31" s="121"/>
      <c r="F31" s="121"/>
      <c r="G31" s="77">
        <f t="shared" ref="G31:K31" si="8">G25</f>
        <v>208</v>
      </c>
      <c r="H31" s="77">
        <f t="shared" si="8"/>
        <v>251</v>
      </c>
      <c r="I31" s="77">
        <f t="shared" si="8"/>
        <v>310</v>
      </c>
      <c r="J31" s="77">
        <f t="shared" si="8"/>
        <v>256</v>
      </c>
      <c r="K31" s="77">
        <f t="shared" si="8"/>
        <v>182</v>
      </c>
      <c r="L31" s="77"/>
      <c r="M31" s="122">
        <f>G31+H31+I31+J31+K31+L31</f>
        <v>1207</v>
      </c>
      <c r="N31" s="122"/>
      <c r="O31" s="22"/>
      <c r="P31" s="21"/>
      <c r="S31" s="81"/>
      <c r="T31" s="81"/>
      <c r="U31" s="81"/>
      <c r="V31" s="81"/>
    </row>
  </sheetData>
  <mergeCells count="40">
    <mergeCell ref="A30:C30"/>
    <mergeCell ref="D30:F31"/>
    <mergeCell ref="M30:N30"/>
    <mergeCell ref="A31:C31"/>
    <mergeCell ref="M31:N31"/>
    <mergeCell ref="A26:V26"/>
    <mergeCell ref="A27:L27"/>
    <mergeCell ref="P27:R27"/>
    <mergeCell ref="A28:V28"/>
    <mergeCell ref="A29:C29"/>
    <mergeCell ref="D29:F29"/>
    <mergeCell ref="M29:N29"/>
    <mergeCell ref="D19:F24"/>
    <mergeCell ref="P19:P24"/>
    <mergeCell ref="Q19:Q24"/>
    <mergeCell ref="R19:R24"/>
    <mergeCell ref="A25:F25"/>
    <mergeCell ref="P25:R25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20C6-ECF8-42AF-BA49-7666AD8938AC}">
  <sheetPr>
    <tabColor rgb="FFC00000"/>
    <pageSetUpPr fitToPage="1"/>
  </sheetPr>
  <dimension ref="A1:W33"/>
  <sheetViews>
    <sheetView showGridLines="0" view="pageBreakPreview" topLeftCell="A10" zoomScaleNormal="62" zoomScaleSheetLayoutView="100" workbookViewId="0">
      <selection activeCell="R33" sqref="R33"/>
    </sheetView>
  </sheetViews>
  <sheetFormatPr defaultColWidth="9.140625" defaultRowHeight="12.75"/>
  <cols>
    <col min="1" max="1" width="4.7109375" style="1" customWidth="1"/>
    <col min="2" max="2" width="1.7109375" style="1" customWidth="1"/>
    <col min="3" max="3" width="4.7109375" style="1" customWidth="1"/>
    <col min="4" max="4" width="7.28515625" style="1" customWidth="1"/>
    <col min="5" max="5" width="1.42578125" style="82" customWidth="1"/>
    <col min="6" max="6" width="6.7109375" style="1" customWidth="1"/>
    <col min="7" max="12" width="8.7109375" style="1" customWidth="1"/>
    <col min="13" max="15" width="9.7109375" style="1" customWidth="1"/>
    <col min="16" max="18" width="5.7109375" style="1" customWidth="1"/>
    <col min="19" max="20" width="8.140625" style="1" customWidth="1"/>
    <col min="21" max="22" width="11.7109375" style="1" customWidth="1"/>
    <col min="23" max="16384" width="9.140625" style="1"/>
  </cols>
  <sheetData>
    <row r="1" spans="1:23" ht="30" customHeight="1">
      <c r="A1" s="95" t="s">
        <v>85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3" ht="15.95" customHeight="1">
      <c r="A2" s="96" t="s">
        <v>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3" ht="15.95" customHeight="1">
      <c r="A3" s="96" t="s">
        <v>106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3" ht="9.9499999999999993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3" ht="24" customHeight="1">
      <c r="A5" s="98" t="s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3" ht="9.9499999999999993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2"/>
    </row>
    <row r="7" spans="1:23" ht="15" customHeight="1">
      <c r="A7" s="8" t="s">
        <v>11</v>
      </c>
      <c r="B7" s="8"/>
      <c r="C7" s="42"/>
      <c r="D7" s="42"/>
      <c r="E7" s="45" t="s">
        <v>0</v>
      </c>
      <c r="F7" s="9" t="s">
        <v>28</v>
      </c>
      <c r="G7" s="9"/>
      <c r="H7" s="10"/>
      <c r="I7" s="8"/>
      <c r="J7" s="11"/>
      <c r="K7" s="11"/>
      <c r="L7" s="11"/>
      <c r="M7" s="11"/>
      <c r="N7" s="43"/>
      <c r="O7" s="12"/>
      <c r="P7" s="12"/>
      <c r="Q7" s="8"/>
      <c r="R7" s="8"/>
      <c r="S7" s="12"/>
      <c r="T7" s="8"/>
      <c r="U7" s="27" t="s">
        <v>29</v>
      </c>
      <c r="V7" s="8"/>
      <c r="W7" s="2"/>
    </row>
    <row r="8" spans="1:23" ht="15" customHeight="1">
      <c r="A8" s="8" t="s">
        <v>31</v>
      </c>
      <c r="B8" s="8"/>
      <c r="C8" s="42"/>
      <c r="D8" s="42"/>
      <c r="E8" s="45" t="s">
        <v>0</v>
      </c>
      <c r="F8" s="32">
        <v>53920</v>
      </c>
      <c r="G8" s="31"/>
      <c r="H8" s="10"/>
      <c r="I8" s="8"/>
      <c r="J8" s="11"/>
      <c r="K8" s="11"/>
      <c r="L8" s="11"/>
      <c r="M8" s="11"/>
      <c r="N8" s="12"/>
      <c r="O8" s="12"/>
      <c r="P8" s="12"/>
      <c r="Q8" s="8"/>
      <c r="R8" s="8"/>
      <c r="S8" s="12"/>
      <c r="T8" s="8"/>
      <c r="U8" s="8"/>
      <c r="V8" s="8"/>
      <c r="W8" s="2"/>
    </row>
    <row r="9" spans="1:23" ht="15" customHeight="1">
      <c r="A9" s="8" t="s">
        <v>33</v>
      </c>
      <c r="B9" s="8"/>
      <c r="C9" s="42"/>
      <c r="D9" s="42"/>
      <c r="E9" s="45" t="s">
        <v>0</v>
      </c>
      <c r="F9" s="24" t="s">
        <v>232</v>
      </c>
      <c r="G9" s="13"/>
      <c r="H9" s="10"/>
      <c r="I9" s="8"/>
      <c r="J9" s="11"/>
      <c r="K9" s="11"/>
      <c r="L9" s="11"/>
      <c r="M9" s="11"/>
      <c r="N9" s="12"/>
      <c r="O9" s="12"/>
      <c r="P9" s="12"/>
      <c r="Q9" s="8"/>
      <c r="R9" s="8"/>
      <c r="S9" s="12"/>
      <c r="T9" s="8"/>
      <c r="U9" s="8"/>
      <c r="V9" s="8"/>
      <c r="W9" s="2"/>
    </row>
    <row r="10" spans="1:23" ht="15" customHeight="1">
      <c r="A10" s="8" t="s">
        <v>32</v>
      </c>
      <c r="B10" s="8"/>
      <c r="C10" s="42"/>
      <c r="D10" s="42"/>
      <c r="E10" s="45" t="s">
        <v>0</v>
      </c>
      <c r="F10" s="24" t="s">
        <v>233</v>
      </c>
      <c r="G10" s="13"/>
      <c r="H10" s="10"/>
      <c r="I10" s="8"/>
      <c r="J10" s="11"/>
      <c r="K10" s="11"/>
      <c r="L10" s="11"/>
      <c r="M10" s="11"/>
      <c r="N10" s="12"/>
      <c r="O10" s="12"/>
      <c r="P10" s="12"/>
      <c r="Q10" s="8"/>
      <c r="R10" s="8"/>
      <c r="S10" s="12"/>
      <c r="T10" s="8"/>
      <c r="U10" s="8"/>
      <c r="V10" s="8"/>
      <c r="W10" s="2"/>
    </row>
    <row r="11" spans="1:23" ht="15" customHeight="1">
      <c r="A11" s="8" t="s">
        <v>12</v>
      </c>
      <c r="B11" s="8"/>
      <c r="C11" s="42"/>
      <c r="D11" s="42"/>
      <c r="E11" s="45" t="s">
        <v>0</v>
      </c>
      <c r="F11" s="100">
        <v>1100</v>
      </c>
      <c r="G11" s="100"/>
      <c r="H11" s="14"/>
      <c r="I11" s="8"/>
      <c r="J11" s="11"/>
      <c r="K11" s="11"/>
      <c r="L11" s="11"/>
      <c r="M11" s="11"/>
      <c r="N11" s="12"/>
      <c r="O11" s="15"/>
      <c r="P11" s="15"/>
      <c r="Q11" s="8"/>
      <c r="R11" s="8"/>
      <c r="S11" s="8"/>
      <c r="T11" s="8"/>
      <c r="U11" s="8"/>
      <c r="V11" s="8"/>
      <c r="W11" s="2"/>
    </row>
    <row r="12" spans="1:23" ht="15" customHeight="1">
      <c r="A12" s="8" t="s">
        <v>13</v>
      </c>
      <c r="B12" s="8"/>
      <c r="C12" s="42"/>
      <c r="D12" s="42"/>
      <c r="E12" s="45" t="s">
        <v>0</v>
      </c>
      <c r="F12" s="100">
        <f>M33</f>
        <v>1124</v>
      </c>
      <c r="G12" s="100"/>
      <c r="H12" s="14"/>
      <c r="I12" s="8"/>
      <c r="J12" s="11"/>
      <c r="K12" s="11"/>
      <c r="L12" s="11"/>
      <c r="M12" s="11"/>
      <c r="N12" s="15"/>
      <c r="O12" s="15"/>
      <c r="P12" s="15"/>
      <c r="Q12" s="16"/>
      <c r="R12" s="8"/>
      <c r="S12" s="8"/>
      <c r="T12" s="8"/>
      <c r="U12" s="8"/>
      <c r="V12" s="8"/>
      <c r="W12" s="2"/>
    </row>
    <row r="13" spans="1:23" ht="15" customHeight="1">
      <c r="A13" s="8" t="s">
        <v>14</v>
      </c>
      <c r="B13" s="8"/>
      <c r="C13" s="42"/>
      <c r="D13" s="42"/>
      <c r="E13" s="45" t="s">
        <v>0</v>
      </c>
      <c r="F13" s="100">
        <f>F12-F11</f>
        <v>24</v>
      </c>
      <c r="G13" s="100"/>
      <c r="H13" s="10"/>
      <c r="I13" s="8"/>
      <c r="J13" s="11"/>
      <c r="K13" s="11"/>
      <c r="L13" s="11"/>
      <c r="M13" s="11"/>
      <c r="N13" s="15"/>
      <c r="O13" s="15"/>
      <c r="P13" s="15"/>
      <c r="Q13" s="8"/>
      <c r="R13" s="101"/>
      <c r="S13" s="101"/>
      <c r="T13" s="101"/>
      <c r="U13" s="8"/>
      <c r="V13" s="8"/>
      <c r="W13" s="2"/>
    </row>
    <row r="14" spans="1:23" ht="15" customHeight="1">
      <c r="A14" s="8" t="s">
        <v>15</v>
      </c>
      <c r="B14" s="8"/>
      <c r="C14" s="42"/>
      <c r="D14" s="42"/>
      <c r="E14" s="45" t="s">
        <v>0</v>
      </c>
      <c r="F14" s="94">
        <f>N29</f>
        <v>19</v>
      </c>
      <c r="G14" s="94"/>
      <c r="H14" s="10"/>
      <c r="I14" s="8"/>
      <c r="J14" s="11"/>
      <c r="K14" s="11"/>
      <c r="L14" s="11"/>
      <c r="M14" s="11"/>
      <c r="N14" s="15"/>
      <c r="O14" s="15"/>
      <c r="P14" s="15"/>
      <c r="Q14" s="8"/>
      <c r="R14" s="8"/>
      <c r="S14" s="8"/>
      <c r="T14" s="8"/>
      <c r="U14" s="8"/>
      <c r="V14" s="8"/>
      <c r="W14" s="2"/>
    </row>
    <row r="15" spans="1:23" ht="15" customHeight="1">
      <c r="A15" s="8" t="s">
        <v>16</v>
      </c>
      <c r="B15" s="8"/>
      <c r="C15" s="42"/>
      <c r="D15" s="42"/>
      <c r="E15" s="45" t="s">
        <v>0</v>
      </c>
      <c r="F15" s="94" t="s">
        <v>89</v>
      </c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2"/>
    </row>
    <row r="16" spans="1:23" ht="9.9499999999999993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2"/>
    </row>
    <row r="17" spans="1:23" ht="15" customHeight="1">
      <c r="A17" s="103" t="s">
        <v>3</v>
      </c>
      <c r="B17" s="103"/>
      <c r="C17" s="103"/>
      <c r="D17" s="104" t="s">
        <v>43</v>
      </c>
      <c r="E17" s="104"/>
      <c r="F17" s="104"/>
      <c r="G17" s="105" t="s">
        <v>17</v>
      </c>
      <c r="H17" s="105"/>
      <c r="I17" s="105"/>
      <c r="J17" s="105"/>
      <c r="K17" s="105"/>
      <c r="L17" s="105"/>
      <c r="M17" s="106" t="s">
        <v>18</v>
      </c>
      <c r="N17" s="106" t="s">
        <v>19</v>
      </c>
      <c r="O17" s="106" t="s">
        <v>20</v>
      </c>
      <c r="P17" s="107" t="s">
        <v>21</v>
      </c>
      <c r="Q17" s="107"/>
      <c r="R17" s="107"/>
      <c r="S17" s="108" t="s">
        <v>4</v>
      </c>
      <c r="T17" s="108"/>
      <c r="U17" s="108" t="s">
        <v>4</v>
      </c>
      <c r="V17" s="108"/>
      <c r="W17" s="2"/>
    </row>
    <row r="18" spans="1:23" ht="15" customHeight="1">
      <c r="A18" s="103"/>
      <c r="B18" s="103"/>
      <c r="C18" s="103"/>
      <c r="D18" s="104"/>
      <c r="E18" s="104"/>
      <c r="F18" s="104"/>
      <c r="G18" s="44" t="s">
        <v>91</v>
      </c>
      <c r="H18" s="44" t="s">
        <v>92</v>
      </c>
      <c r="I18" s="78" t="s">
        <v>22</v>
      </c>
      <c r="J18" s="78" t="s">
        <v>93</v>
      </c>
      <c r="K18" s="78" t="s">
        <v>94</v>
      </c>
      <c r="L18" s="78" t="s">
        <v>95</v>
      </c>
      <c r="M18" s="106"/>
      <c r="N18" s="106"/>
      <c r="O18" s="106"/>
      <c r="P18" s="80" t="s">
        <v>22</v>
      </c>
      <c r="Q18" s="80" t="s">
        <v>23</v>
      </c>
      <c r="R18" s="80" t="s">
        <v>24</v>
      </c>
      <c r="S18" s="79" t="s">
        <v>6</v>
      </c>
      <c r="T18" s="79" t="s">
        <v>7</v>
      </c>
      <c r="U18" s="79" t="s">
        <v>8</v>
      </c>
      <c r="V18" s="79" t="s">
        <v>9</v>
      </c>
      <c r="W18" s="2"/>
    </row>
    <row r="19" spans="1:23" s="4" customFormat="1" ht="18" customHeight="1">
      <c r="A19" s="25">
        <v>1</v>
      </c>
      <c r="B19" s="26" t="s">
        <v>25</v>
      </c>
      <c r="C19" s="25">
        <f>N19</f>
        <v>2</v>
      </c>
      <c r="D19" s="109" t="s">
        <v>99</v>
      </c>
      <c r="E19" s="109"/>
      <c r="F19" s="109"/>
      <c r="G19" s="17">
        <v>75</v>
      </c>
      <c r="H19" s="18"/>
      <c r="I19" s="18"/>
      <c r="J19" s="19"/>
      <c r="K19" s="19"/>
      <c r="L19" s="19"/>
      <c r="M19" s="18">
        <f t="shared" ref="M19:M26" si="0">SUM(G19:L19)</f>
        <v>75</v>
      </c>
      <c r="N19" s="20">
        <v>2</v>
      </c>
      <c r="O19" s="28">
        <f t="shared" ref="O19:O26" si="1">M19*N19</f>
        <v>150</v>
      </c>
      <c r="P19" s="110">
        <v>55</v>
      </c>
      <c r="Q19" s="110">
        <v>28</v>
      </c>
      <c r="R19" s="111">
        <v>28</v>
      </c>
      <c r="S19" s="39">
        <v>9.4</v>
      </c>
      <c r="T19" s="39">
        <f>S19+1</f>
        <v>10.4</v>
      </c>
      <c r="U19" s="39">
        <f t="shared" ref="U19:U26" si="2">S19*N19</f>
        <v>18.8</v>
      </c>
      <c r="V19" s="39">
        <f t="shared" ref="V19:V26" si="3">T19*N19</f>
        <v>20.8</v>
      </c>
      <c r="W19" s="3"/>
    </row>
    <row r="20" spans="1:23" s="4" customFormat="1" ht="18" customHeight="1">
      <c r="A20" s="25">
        <f>C19+1</f>
        <v>3</v>
      </c>
      <c r="B20" s="26" t="s">
        <v>25</v>
      </c>
      <c r="C20" s="25">
        <f>C19+N20</f>
        <v>4</v>
      </c>
      <c r="D20" s="109"/>
      <c r="E20" s="109"/>
      <c r="F20" s="109"/>
      <c r="G20" s="17"/>
      <c r="H20" s="18">
        <v>75</v>
      </c>
      <c r="I20" s="18"/>
      <c r="J20" s="19"/>
      <c r="K20" s="19"/>
      <c r="L20" s="19"/>
      <c r="M20" s="18">
        <f t="shared" si="0"/>
        <v>75</v>
      </c>
      <c r="N20" s="20">
        <v>2</v>
      </c>
      <c r="O20" s="28">
        <f t="shared" si="1"/>
        <v>150</v>
      </c>
      <c r="P20" s="110"/>
      <c r="Q20" s="110"/>
      <c r="R20" s="111"/>
      <c r="S20" s="39">
        <v>9.5</v>
      </c>
      <c r="T20" s="39">
        <f t="shared" ref="T20:T26" si="4">S20+1</f>
        <v>10.5</v>
      </c>
      <c r="U20" s="39">
        <f t="shared" si="2"/>
        <v>19</v>
      </c>
      <c r="V20" s="39">
        <f t="shared" si="3"/>
        <v>21</v>
      </c>
      <c r="W20" s="3"/>
    </row>
    <row r="21" spans="1:23" s="4" customFormat="1" ht="18" customHeight="1">
      <c r="A21" s="25">
        <f t="shared" ref="A21:A26" si="5">C20+1</f>
        <v>5</v>
      </c>
      <c r="B21" s="26" t="s">
        <v>25</v>
      </c>
      <c r="C21" s="25">
        <f>C20+N21</f>
        <v>8</v>
      </c>
      <c r="D21" s="109"/>
      <c r="E21" s="109"/>
      <c r="F21" s="109"/>
      <c r="G21" s="17"/>
      <c r="H21" s="18"/>
      <c r="I21" s="18">
        <v>60</v>
      </c>
      <c r="J21" s="19"/>
      <c r="K21" s="19"/>
      <c r="L21" s="19"/>
      <c r="M21" s="18">
        <f t="shared" si="0"/>
        <v>60</v>
      </c>
      <c r="N21" s="20">
        <v>4</v>
      </c>
      <c r="O21" s="28">
        <f t="shared" si="1"/>
        <v>240</v>
      </c>
      <c r="P21" s="110"/>
      <c r="Q21" s="110"/>
      <c r="R21" s="111"/>
      <c r="S21" s="39">
        <v>9.1999999999999993</v>
      </c>
      <c r="T21" s="39">
        <f t="shared" si="4"/>
        <v>10.199999999999999</v>
      </c>
      <c r="U21" s="39">
        <f t="shared" si="2"/>
        <v>36.799999999999997</v>
      </c>
      <c r="V21" s="39">
        <f t="shared" si="3"/>
        <v>40.799999999999997</v>
      </c>
      <c r="W21" s="3"/>
    </row>
    <row r="22" spans="1:23" s="4" customFormat="1" ht="18" customHeight="1">
      <c r="A22" s="25">
        <f t="shared" si="5"/>
        <v>9</v>
      </c>
      <c r="B22" s="26" t="s">
        <v>25</v>
      </c>
      <c r="C22" s="25">
        <f>C21+N22</f>
        <v>12</v>
      </c>
      <c r="D22" s="109"/>
      <c r="E22" s="109"/>
      <c r="F22" s="109"/>
      <c r="G22" s="17"/>
      <c r="H22" s="18"/>
      <c r="I22" s="18"/>
      <c r="J22" s="19">
        <v>55</v>
      </c>
      <c r="K22" s="19"/>
      <c r="L22" s="19"/>
      <c r="M22" s="18">
        <f t="shared" si="0"/>
        <v>55</v>
      </c>
      <c r="N22" s="20">
        <v>4</v>
      </c>
      <c r="O22" s="28">
        <f t="shared" si="1"/>
        <v>220</v>
      </c>
      <c r="P22" s="110"/>
      <c r="Q22" s="110"/>
      <c r="R22" s="111"/>
      <c r="S22" s="39">
        <v>9</v>
      </c>
      <c r="T22" s="39">
        <f t="shared" si="4"/>
        <v>10</v>
      </c>
      <c r="U22" s="39">
        <f t="shared" si="2"/>
        <v>36</v>
      </c>
      <c r="V22" s="39">
        <f t="shared" si="3"/>
        <v>40</v>
      </c>
      <c r="W22" s="3"/>
    </row>
    <row r="23" spans="1:23" s="4" customFormat="1" ht="18" customHeight="1">
      <c r="A23" s="25">
        <f t="shared" si="5"/>
        <v>13</v>
      </c>
      <c r="B23" s="26" t="s">
        <v>25</v>
      </c>
      <c r="C23" s="25">
        <f>C22+N23</f>
        <v>16</v>
      </c>
      <c r="D23" s="109"/>
      <c r="E23" s="109"/>
      <c r="F23" s="109"/>
      <c r="G23" s="17"/>
      <c r="H23" s="18"/>
      <c r="I23" s="18"/>
      <c r="J23" s="19"/>
      <c r="K23" s="19">
        <v>50</v>
      </c>
      <c r="L23" s="19"/>
      <c r="M23" s="18">
        <f t="shared" si="0"/>
        <v>50</v>
      </c>
      <c r="N23" s="20">
        <v>4</v>
      </c>
      <c r="O23" s="28">
        <f t="shared" si="1"/>
        <v>200</v>
      </c>
      <c r="P23" s="110"/>
      <c r="Q23" s="110"/>
      <c r="R23" s="111"/>
      <c r="S23" s="39">
        <v>8.5</v>
      </c>
      <c r="T23" s="39">
        <f t="shared" si="4"/>
        <v>9.5</v>
      </c>
      <c r="U23" s="39">
        <f t="shared" si="2"/>
        <v>34</v>
      </c>
      <c r="V23" s="39">
        <f t="shared" si="3"/>
        <v>38</v>
      </c>
      <c r="W23" s="3"/>
    </row>
    <row r="24" spans="1:23" s="4" customFormat="1" ht="18" customHeight="1">
      <c r="A24" s="25">
        <f t="shared" si="5"/>
        <v>17</v>
      </c>
      <c r="B24" s="26" t="s">
        <v>25</v>
      </c>
      <c r="C24" s="25">
        <f t="shared" ref="C24:C26" si="6">C23+N24</f>
        <v>17</v>
      </c>
      <c r="D24" s="109"/>
      <c r="E24" s="109"/>
      <c r="F24" s="109"/>
      <c r="G24" s="17">
        <v>52</v>
      </c>
      <c r="H24" s="18"/>
      <c r="I24" s="18"/>
      <c r="J24" s="19"/>
      <c r="K24" s="19"/>
      <c r="L24" s="19"/>
      <c r="M24" s="18">
        <f t="shared" si="0"/>
        <v>52</v>
      </c>
      <c r="N24" s="20">
        <v>1</v>
      </c>
      <c r="O24" s="28">
        <f t="shared" si="1"/>
        <v>52</v>
      </c>
      <c r="P24" s="110"/>
      <c r="Q24" s="110"/>
      <c r="R24" s="111"/>
      <c r="S24" s="39">
        <v>8</v>
      </c>
      <c r="T24" s="39">
        <f t="shared" si="4"/>
        <v>9</v>
      </c>
      <c r="U24" s="39">
        <f t="shared" si="2"/>
        <v>8</v>
      </c>
      <c r="V24" s="39">
        <f t="shared" si="3"/>
        <v>9</v>
      </c>
      <c r="W24" s="3"/>
    </row>
    <row r="25" spans="1:23" s="4" customFormat="1" ht="18" customHeight="1">
      <c r="A25" s="25">
        <f t="shared" si="5"/>
        <v>18</v>
      </c>
      <c r="B25" s="26" t="s">
        <v>25</v>
      </c>
      <c r="C25" s="25">
        <f t="shared" si="6"/>
        <v>18</v>
      </c>
      <c r="D25" s="109"/>
      <c r="E25" s="109"/>
      <c r="F25" s="109"/>
      <c r="G25" s="17"/>
      <c r="H25" s="18">
        <v>55</v>
      </c>
      <c r="I25" s="18"/>
      <c r="J25" s="19"/>
      <c r="K25" s="19"/>
      <c r="L25" s="19"/>
      <c r="M25" s="18">
        <f t="shared" si="0"/>
        <v>55</v>
      </c>
      <c r="N25" s="20">
        <v>1</v>
      </c>
      <c r="O25" s="28">
        <f t="shared" si="1"/>
        <v>55</v>
      </c>
      <c r="P25" s="110"/>
      <c r="Q25" s="110"/>
      <c r="R25" s="111"/>
      <c r="S25" s="39">
        <v>8.3000000000000007</v>
      </c>
      <c r="T25" s="39">
        <f t="shared" si="4"/>
        <v>9.3000000000000007</v>
      </c>
      <c r="U25" s="39">
        <f t="shared" si="2"/>
        <v>8.3000000000000007</v>
      </c>
      <c r="V25" s="39">
        <f t="shared" si="3"/>
        <v>9.3000000000000007</v>
      </c>
      <c r="W25" s="3"/>
    </row>
    <row r="26" spans="1:23" s="4" customFormat="1" ht="18" customHeight="1">
      <c r="A26" s="25">
        <f t="shared" si="5"/>
        <v>19</v>
      </c>
      <c r="B26" s="26" t="s">
        <v>25</v>
      </c>
      <c r="C26" s="25">
        <f t="shared" si="6"/>
        <v>19</v>
      </c>
      <c r="D26" s="109"/>
      <c r="E26" s="109"/>
      <c r="F26" s="109"/>
      <c r="G26" s="17"/>
      <c r="H26" s="18"/>
      <c r="I26" s="18">
        <v>15</v>
      </c>
      <c r="J26" s="19">
        <v>36</v>
      </c>
      <c r="K26" s="19">
        <v>6</v>
      </c>
      <c r="L26" s="19"/>
      <c r="M26" s="18">
        <f t="shared" si="0"/>
        <v>57</v>
      </c>
      <c r="N26" s="20">
        <v>1</v>
      </c>
      <c r="O26" s="28">
        <f t="shared" si="1"/>
        <v>57</v>
      </c>
      <c r="P26" s="110"/>
      <c r="Q26" s="110"/>
      <c r="R26" s="111"/>
      <c r="S26" s="39">
        <v>8.5</v>
      </c>
      <c r="T26" s="39">
        <f t="shared" si="4"/>
        <v>9.5</v>
      </c>
      <c r="U26" s="39">
        <f t="shared" si="2"/>
        <v>8.5</v>
      </c>
      <c r="V26" s="39">
        <f t="shared" si="3"/>
        <v>9.5</v>
      </c>
      <c r="W26" s="3"/>
    </row>
    <row r="27" spans="1:23" s="23" customFormat="1" ht="21.95" customHeight="1">
      <c r="A27" s="112" t="s">
        <v>2</v>
      </c>
      <c r="B27" s="112"/>
      <c r="C27" s="112"/>
      <c r="D27" s="112"/>
      <c r="E27" s="112"/>
      <c r="F27" s="112"/>
      <c r="G27" s="52">
        <f>O19+G24</f>
        <v>202</v>
      </c>
      <c r="H27" s="53">
        <f>O20+H25</f>
        <v>205</v>
      </c>
      <c r="I27" s="53">
        <f>O21+I26</f>
        <v>255</v>
      </c>
      <c r="J27" s="53">
        <f>O22+J26</f>
        <v>256</v>
      </c>
      <c r="K27" s="53">
        <f>O23+K26</f>
        <v>206</v>
      </c>
      <c r="L27" s="53"/>
      <c r="M27" s="54"/>
      <c r="N27" s="55">
        <f>SUM(N19:N26)</f>
        <v>19</v>
      </c>
      <c r="O27" s="56">
        <f>SUM(O19:O26)</f>
        <v>1124</v>
      </c>
      <c r="P27" s="113">
        <f>(P19*Q19*R19)/1000000*N27</f>
        <v>0.81928000000000001</v>
      </c>
      <c r="Q27" s="113"/>
      <c r="R27" s="113"/>
      <c r="S27" s="57"/>
      <c r="T27" s="58"/>
      <c r="U27" s="59">
        <f>SUM(U19:U26)</f>
        <v>169.4</v>
      </c>
      <c r="V27" s="59">
        <f>SUM(V19:V26)</f>
        <v>188.4</v>
      </c>
    </row>
    <row r="28" spans="1:23" ht="15" customHeight="1">
      <c r="A28" s="114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6"/>
      <c r="W28" s="2"/>
    </row>
    <row r="29" spans="1:23" s="6" customFormat="1" ht="15" customHeight="1">
      <c r="A29" s="103" t="s">
        <v>5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46"/>
      <c r="N29" s="47">
        <f>N27</f>
        <v>19</v>
      </c>
      <c r="O29" s="48">
        <f>O27</f>
        <v>1124</v>
      </c>
      <c r="P29" s="117">
        <f>P27</f>
        <v>0.81928000000000001</v>
      </c>
      <c r="Q29" s="117"/>
      <c r="R29" s="117"/>
      <c r="S29" s="49"/>
      <c r="T29" s="49"/>
      <c r="U29" s="50">
        <f>U27</f>
        <v>169.4</v>
      </c>
      <c r="V29" s="50">
        <f>V27</f>
        <v>188.4</v>
      </c>
      <c r="W29" s="5"/>
    </row>
    <row r="30" spans="1:23" ht="15" customHeight="1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</row>
    <row r="31" spans="1:23" s="7" customFormat="1" ht="30" customHeight="1">
      <c r="A31" s="106" t="s">
        <v>10</v>
      </c>
      <c r="B31" s="106"/>
      <c r="C31" s="106"/>
      <c r="D31" s="103" t="str">
        <f>D17</f>
        <v>COLOR</v>
      </c>
      <c r="E31" s="103"/>
      <c r="F31" s="103"/>
      <c r="G31" s="51" t="str">
        <f t="shared" ref="G31:L31" si="7">G18</f>
        <v>S</v>
      </c>
      <c r="H31" s="51" t="str">
        <f t="shared" si="7"/>
        <v>M</v>
      </c>
      <c r="I31" s="51" t="str">
        <f t="shared" si="7"/>
        <v>L</v>
      </c>
      <c r="J31" s="51" t="str">
        <f t="shared" si="7"/>
        <v>XL</v>
      </c>
      <c r="K31" s="51" t="str">
        <f t="shared" si="7"/>
        <v>XXL</v>
      </c>
      <c r="L31" s="51" t="str">
        <f t="shared" si="7"/>
        <v>3XL</v>
      </c>
      <c r="M31" s="103" t="s">
        <v>2</v>
      </c>
      <c r="N31" s="103"/>
      <c r="O31" s="81"/>
      <c r="P31" s="81"/>
      <c r="S31" s="81"/>
      <c r="T31" s="81"/>
      <c r="U31" s="81"/>
      <c r="V31" s="81"/>
    </row>
    <row r="32" spans="1:23" s="7" customFormat="1" ht="24.95" customHeight="1">
      <c r="A32" s="119" t="s">
        <v>12</v>
      </c>
      <c r="B32" s="119"/>
      <c r="C32" s="119"/>
      <c r="D32" s="120" t="str">
        <f>D19</f>
        <v>Black</v>
      </c>
      <c r="E32" s="121"/>
      <c r="F32" s="121"/>
      <c r="G32" s="77">
        <v>200</v>
      </c>
      <c r="H32" s="77">
        <v>200</v>
      </c>
      <c r="I32" s="77">
        <v>250</v>
      </c>
      <c r="J32" s="77">
        <v>250</v>
      </c>
      <c r="K32" s="77">
        <v>200</v>
      </c>
      <c r="L32" s="77"/>
      <c r="M32" s="122">
        <f>G32+H32+I32+J32+K32+L32</f>
        <v>1100</v>
      </c>
      <c r="N32" s="122"/>
      <c r="O32" s="22"/>
      <c r="P32" s="21"/>
      <c r="S32" s="81"/>
      <c r="T32" s="81"/>
      <c r="U32" s="81"/>
      <c r="V32" s="81"/>
    </row>
    <row r="33" spans="1:22" s="7" customFormat="1" ht="24.95" customHeight="1">
      <c r="A33" s="119" t="s">
        <v>30</v>
      </c>
      <c r="B33" s="119"/>
      <c r="C33" s="119"/>
      <c r="D33" s="121"/>
      <c r="E33" s="121"/>
      <c r="F33" s="121"/>
      <c r="G33" s="77">
        <f t="shared" ref="G33:K33" si="8">G27</f>
        <v>202</v>
      </c>
      <c r="H33" s="77">
        <f t="shared" si="8"/>
        <v>205</v>
      </c>
      <c r="I33" s="77">
        <f t="shared" si="8"/>
        <v>255</v>
      </c>
      <c r="J33" s="77">
        <f t="shared" si="8"/>
        <v>256</v>
      </c>
      <c r="K33" s="77">
        <f t="shared" si="8"/>
        <v>206</v>
      </c>
      <c r="L33" s="77">
        <f>L27</f>
        <v>0</v>
      </c>
      <c r="M33" s="122">
        <f>G33+H33+I33+J33+K33+L33</f>
        <v>1124</v>
      </c>
      <c r="N33" s="122"/>
      <c r="O33" s="22"/>
      <c r="P33" s="21"/>
      <c r="S33" s="81"/>
      <c r="T33" s="81"/>
      <c r="U33" s="81"/>
      <c r="V33" s="81"/>
    </row>
  </sheetData>
  <mergeCells count="40">
    <mergeCell ref="A32:C32"/>
    <mergeCell ref="D32:F33"/>
    <mergeCell ref="M32:N32"/>
    <mergeCell ref="A33:C33"/>
    <mergeCell ref="M33:N33"/>
    <mergeCell ref="A28:V28"/>
    <mergeCell ref="A29:L29"/>
    <mergeCell ref="P29:R29"/>
    <mergeCell ref="A30:V30"/>
    <mergeCell ref="A31:C31"/>
    <mergeCell ref="D31:F31"/>
    <mergeCell ref="M31:N31"/>
    <mergeCell ref="D19:F26"/>
    <mergeCell ref="P19:P26"/>
    <mergeCell ref="Q19:Q26"/>
    <mergeCell ref="R19:R26"/>
    <mergeCell ref="A27:F27"/>
    <mergeCell ref="P27:R27"/>
    <mergeCell ref="A16:V16"/>
    <mergeCell ref="A17:C18"/>
    <mergeCell ref="D17:F18"/>
    <mergeCell ref="G17:L17"/>
    <mergeCell ref="M17:M18"/>
    <mergeCell ref="N17:N18"/>
    <mergeCell ref="O17:O18"/>
    <mergeCell ref="P17:R17"/>
    <mergeCell ref="S17:T17"/>
    <mergeCell ref="U17:V17"/>
    <mergeCell ref="F15:V15"/>
    <mergeCell ref="A1:V1"/>
    <mergeCell ref="A2:V2"/>
    <mergeCell ref="A3:V3"/>
    <mergeCell ref="A4:V4"/>
    <mergeCell ref="A5:V5"/>
    <mergeCell ref="A6:V6"/>
    <mergeCell ref="F11:G11"/>
    <mergeCell ref="F12:G12"/>
    <mergeCell ref="F13:G13"/>
    <mergeCell ref="R13:T13"/>
    <mergeCell ref="F14:G14"/>
  </mergeCells>
  <pageMargins left="0.25" right="0.25" top="0.5" bottom="0.25" header="0" footer="0"/>
  <pageSetup paperSize="9" scale="88" fitToHeight="0" orientation="landscape" horizontalDpi="300" verticalDpi="3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CD5B1-116B-4AC7-8D77-3FB478F310B0}">
  <sheetPr>
    <tabColor rgb="FF002060"/>
    <pageSetUpPr fitToPage="1"/>
  </sheetPr>
  <dimension ref="A1:W56"/>
  <sheetViews>
    <sheetView tabSelected="1" topLeftCell="A7" workbookViewId="0">
      <pane ySplit="2" topLeftCell="A9" activePane="bottomLeft" state="frozen"/>
      <selection activeCell="A7" sqref="A7"/>
      <selection pane="bottomLeft" activeCell="T51" sqref="T51"/>
    </sheetView>
  </sheetViews>
  <sheetFormatPr defaultRowHeight="12.75"/>
  <cols>
    <col min="1" max="1" width="7.7109375" style="33" customWidth="1"/>
    <col min="2" max="2" width="9.140625" style="33"/>
    <col min="3" max="3" width="20.7109375" style="33" customWidth="1"/>
    <col min="4" max="10" width="9.140625" style="33"/>
    <col min="11" max="13" width="7.7109375" style="33" customWidth="1"/>
    <col min="14" max="17" width="9.140625" style="33"/>
    <col min="18" max="18" width="10" style="33" bestFit="1" customWidth="1"/>
    <col min="19" max="16384" width="9.140625" style="33"/>
  </cols>
  <sheetData>
    <row r="1" spans="1:23" ht="30">
      <c r="A1" s="123" t="s">
        <v>26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29"/>
      <c r="T1" s="29"/>
      <c r="U1" s="29"/>
      <c r="V1" s="29"/>
      <c r="W1" s="29"/>
    </row>
    <row r="2" spans="1:23" ht="19.5">
      <c r="A2" s="124" t="s">
        <v>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34"/>
      <c r="T2" s="34"/>
      <c r="U2" s="34"/>
      <c r="V2" s="34"/>
      <c r="W2" s="34"/>
    </row>
    <row r="3" spans="1:23" ht="19.5">
      <c r="A3" s="124" t="s">
        <v>203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34"/>
      <c r="T3" s="34"/>
      <c r="U3" s="34"/>
      <c r="V3" s="34"/>
      <c r="W3" s="34"/>
    </row>
    <row r="4" spans="1:23" ht="19.5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</row>
    <row r="5" spans="1:23" ht="22.5">
      <c r="A5" s="125" t="s">
        <v>105</v>
      </c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34"/>
      <c r="T5" s="34"/>
      <c r="U5" s="34"/>
      <c r="V5" s="34"/>
      <c r="W5" s="34"/>
    </row>
    <row r="7" spans="1:23" ht="15.75">
      <c r="A7" s="126" t="s">
        <v>44</v>
      </c>
      <c r="B7" s="126" t="s">
        <v>33</v>
      </c>
      <c r="C7" s="126" t="s">
        <v>34</v>
      </c>
      <c r="D7" s="126" t="s">
        <v>35</v>
      </c>
      <c r="E7" s="126" t="s">
        <v>42</v>
      </c>
      <c r="F7" s="126"/>
      <c r="G7" s="126"/>
      <c r="H7" s="126" t="s">
        <v>36</v>
      </c>
      <c r="I7" s="126"/>
      <c r="J7" s="126"/>
      <c r="K7" s="126" t="s">
        <v>84</v>
      </c>
      <c r="L7" s="126"/>
      <c r="M7" s="126"/>
      <c r="N7" s="126" t="s">
        <v>2</v>
      </c>
      <c r="O7" s="126"/>
      <c r="P7" s="126"/>
      <c r="Q7" s="126" t="s">
        <v>40</v>
      </c>
      <c r="R7" s="126" t="s">
        <v>41</v>
      </c>
    </row>
    <row r="8" spans="1:23" ht="15">
      <c r="A8" s="126"/>
      <c r="B8" s="126"/>
      <c r="C8" s="126"/>
      <c r="D8" s="126"/>
      <c r="E8" s="30" t="s">
        <v>38</v>
      </c>
      <c r="F8" s="30" t="s">
        <v>37</v>
      </c>
      <c r="G8" s="30" t="s">
        <v>39</v>
      </c>
      <c r="H8" s="30" t="s">
        <v>38</v>
      </c>
      <c r="I8" s="30" t="s">
        <v>37</v>
      </c>
      <c r="J8" s="30" t="s">
        <v>39</v>
      </c>
      <c r="K8" s="30" t="s">
        <v>22</v>
      </c>
      <c r="L8" s="30" t="s">
        <v>23</v>
      </c>
      <c r="M8" s="30" t="s">
        <v>24</v>
      </c>
      <c r="N8" s="30" t="s">
        <v>38</v>
      </c>
      <c r="O8" s="30" t="s">
        <v>37</v>
      </c>
      <c r="P8" s="30" t="s">
        <v>39</v>
      </c>
      <c r="Q8" s="126"/>
      <c r="R8" s="126"/>
    </row>
    <row r="9" spans="1:23" ht="20.100000000000001" customHeight="1">
      <c r="A9" s="41" t="s">
        <v>45</v>
      </c>
      <c r="B9" s="72" t="s">
        <v>107</v>
      </c>
      <c r="C9" s="60" t="s">
        <v>109</v>
      </c>
      <c r="D9" s="37">
        <v>1470</v>
      </c>
      <c r="E9" s="37">
        <f>'361KP'!M33</f>
        <v>1481</v>
      </c>
      <c r="F9" s="73">
        <f>'361KP'!N27</f>
        <v>21</v>
      </c>
      <c r="G9" s="38">
        <f>(K9*L9*M9)/1000000*F9</f>
        <v>0.65973599999999999</v>
      </c>
      <c r="H9" s="35"/>
      <c r="I9" s="35"/>
      <c r="J9" s="35"/>
      <c r="K9" s="73">
        <v>51</v>
      </c>
      <c r="L9" s="73">
        <v>28</v>
      </c>
      <c r="M9" s="73">
        <v>22</v>
      </c>
      <c r="N9" s="35">
        <f>E9+H9</f>
        <v>1481</v>
      </c>
      <c r="O9" s="35">
        <f>F9+I9</f>
        <v>21</v>
      </c>
      <c r="P9" s="38">
        <f>G9+J9</f>
        <v>0.65973599999999999</v>
      </c>
      <c r="Q9" s="76">
        <f>N9-D9</f>
        <v>11</v>
      </c>
      <c r="R9" s="61">
        <f>Q9/D9</f>
        <v>7.4829931972789114E-3</v>
      </c>
    </row>
    <row r="10" spans="1:23" ht="20.100000000000001" customHeight="1">
      <c r="A10" s="41" t="s">
        <v>46</v>
      </c>
      <c r="B10" s="72" t="s">
        <v>110</v>
      </c>
      <c r="C10" s="37" t="s">
        <v>114</v>
      </c>
      <c r="D10" s="37">
        <v>1700</v>
      </c>
      <c r="E10" s="37">
        <f>'364KP'!M33</f>
        <v>1738</v>
      </c>
      <c r="F10" s="73">
        <f>'364KP'!N27</f>
        <v>25</v>
      </c>
      <c r="G10" s="38">
        <f t="shared" ref="G10:G55" si="0">(K10*L10*M10)/1000000*F10</f>
        <v>0.78539999999999999</v>
      </c>
      <c r="H10" s="35"/>
      <c r="I10" s="35"/>
      <c r="J10" s="35"/>
      <c r="K10" s="73">
        <v>51</v>
      </c>
      <c r="L10" s="73">
        <v>28</v>
      </c>
      <c r="M10" s="73">
        <v>22</v>
      </c>
      <c r="N10" s="35">
        <f t="shared" ref="N10:N55" si="1">E10+H10</f>
        <v>1738</v>
      </c>
      <c r="O10" s="35">
        <f t="shared" ref="O10:O55" si="2">F10+I10</f>
        <v>25</v>
      </c>
      <c r="P10" s="38">
        <f t="shared" ref="P10:P55" si="3">G10+J10</f>
        <v>0.78539999999999999</v>
      </c>
      <c r="Q10" s="91">
        <f t="shared" ref="Q10:Q55" si="4">N10-D10</f>
        <v>38</v>
      </c>
      <c r="R10" s="61">
        <f t="shared" ref="R10:R55" si="5">Q10/D10</f>
        <v>2.2352941176470589E-2</v>
      </c>
    </row>
    <row r="11" spans="1:23" ht="20.100000000000001" customHeight="1">
      <c r="A11" s="41" t="s">
        <v>47</v>
      </c>
      <c r="B11" s="72" t="s">
        <v>112</v>
      </c>
      <c r="C11" s="37" t="s">
        <v>115</v>
      </c>
      <c r="D11" s="37">
        <v>1500</v>
      </c>
      <c r="E11" s="37">
        <f>'368KP'!M32</f>
        <v>1531</v>
      </c>
      <c r="F11" s="73">
        <f>'368KP'!N26</f>
        <v>21</v>
      </c>
      <c r="G11" s="38">
        <f t="shared" si="0"/>
        <v>0.65973599999999999</v>
      </c>
      <c r="H11" s="35"/>
      <c r="I11" s="35"/>
      <c r="J11" s="35"/>
      <c r="K11" s="73">
        <v>51</v>
      </c>
      <c r="L11" s="73">
        <v>28</v>
      </c>
      <c r="M11" s="73">
        <v>22</v>
      </c>
      <c r="N11" s="35">
        <f t="shared" si="1"/>
        <v>1531</v>
      </c>
      <c r="O11" s="35">
        <f t="shared" si="2"/>
        <v>21</v>
      </c>
      <c r="P11" s="38">
        <f t="shared" si="3"/>
        <v>0.65973599999999999</v>
      </c>
      <c r="Q11" s="76">
        <f t="shared" si="4"/>
        <v>31</v>
      </c>
      <c r="R11" s="61">
        <f t="shared" si="5"/>
        <v>2.0666666666666667E-2</v>
      </c>
    </row>
    <row r="12" spans="1:23" ht="20.100000000000001" customHeight="1">
      <c r="A12" s="41" t="s">
        <v>48</v>
      </c>
      <c r="B12" s="72" t="s">
        <v>116</v>
      </c>
      <c r="C12" s="37" t="s">
        <v>118</v>
      </c>
      <c r="D12" s="37">
        <v>2150</v>
      </c>
      <c r="E12" s="37">
        <f>'378KP'!M33</f>
        <v>2181</v>
      </c>
      <c r="F12" s="73">
        <f>'378KP'!N27</f>
        <v>31</v>
      </c>
      <c r="G12" s="38">
        <f t="shared" si="0"/>
        <v>0.97389599999999998</v>
      </c>
      <c r="H12" s="35"/>
      <c r="I12" s="35"/>
      <c r="J12" s="35"/>
      <c r="K12" s="73">
        <v>51</v>
      </c>
      <c r="L12" s="73">
        <v>28</v>
      </c>
      <c r="M12" s="73">
        <v>22</v>
      </c>
      <c r="N12" s="35">
        <f t="shared" si="1"/>
        <v>2181</v>
      </c>
      <c r="O12" s="35">
        <f t="shared" si="2"/>
        <v>31</v>
      </c>
      <c r="P12" s="38">
        <f t="shared" si="3"/>
        <v>0.97389599999999998</v>
      </c>
      <c r="Q12" s="93">
        <f t="shared" si="4"/>
        <v>31</v>
      </c>
      <c r="R12" s="61">
        <f t="shared" si="5"/>
        <v>1.441860465116279E-2</v>
      </c>
    </row>
    <row r="13" spans="1:23" ht="20.100000000000001" customHeight="1">
      <c r="A13" s="41" t="s">
        <v>49</v>
      </c>
      <c r="B13" s="72" t="s">
        <v>119</v>
      </c>
      <c r="C13" s="37" t="s">
        <v>121</v>
      </c>
      <c r="D13" s="37">
        <v>1000</v>
      </c>
      <c r="E13" s="37">
        <f>'682WK'!M34</f>
        <v>1013</v>
      </c>
      <c r="F13" s="73">
        <f>'682WK'!N28</f>
        <v>16</v>
      </c>
      <c r="G13" s="38">
        <f t="shared" si="0"/>
        <v>0.50265599999999999</v>
      </c>
      <c r="H13" s="35"/>
      <c r="I13" s="35"/>
      <c r="J13" s="35"/>
      <c r="K13" s="73">
        <v>51</v>
      </c>
      <c r="L13" s="73">
        <v>28</v>
      </c>
      <c r="M13" s="73">
        <v>22</v>
      </c>
      <c r="N13" s="35">
        <f t="shared" si="1"/>
        <v>1013</v>
      </c>
      <c r="O13" s="35">
        <f t="shared" si="2"/>
        <v>16</v>
      </c>
      <c r="P13" s="38">
        <f t="shared" si="3"/>
        <v>0.50265599999999999</v>
      </c>
      <c r="Q13" s="92">
        <f t="shared" si="4"/>
        <v>13</v>
      </c>
      <c r="R13" s="61">
        <f t="shared" si="5"/>
        <v>1.2999999999999999E-2</v>
      </c>
    </row>
    <row r="14" spans="1:23" ht="20.100000000000001" customHeight="1">
      <c r="A14" s="41" t="s">
        <v>50</v>
      </c>
      <c r="B14" s="72" t="s">
        <v>122</v>
      </c>
      <c r="C14" s="37" t="s">
        <v>124</v>
      </c>
      <c r="D14" s="37">
        <v>1370</v>
      </c>
      <c r="E14" s="37">
        <f>'683WK'!M32</f>
        <v>1415</v>
      </c>
      <c r="F14" s="73">
        <f>'683WK'!N26</f>
        <v>20</v>
      </c>
      <c r="G14" s="38">
        <f t="shared" si="0"/>
        <v>0.62831999999999999</v>
      </c>
      <c r="H14" s="35"/>
      <c r="I14" s="35"/>
      <c r="J14" s="35"/>
      <c r="K14" s="73">
        <v>51</v>
      </c>
      <c r="L14" s="73">
        <v>28</v>
      </c>
      <c r="M14" s="73">
        <v>22</v>
      </c>
      <c r="N14" s="35">
        <f t="shared" si="1"/>
        <v>1415</v>
      </c>
      <c r="O14" s="35">
        <f t="shared" si="2"/>
        <v>20</v>
      </c>
      <c r="P14" s="38">
        <f t="shared" si="3"/>
        <v>0.62831999999999999</v>
      </c>
      <c r="Q14" s="91">
        <f t="shared" si="4"/>
        <v>45</v>
      </c>
      <c r="R14" s="61">
        <f t="shared" si="5"/>
        <v>3.2846715328467155E-2</v>
      </c>
    </row>
    <row r="15" spans="1:23" ht="20.100000000000001" customHeight="1">
      <c r="A15" s="41" t="s">
        <v>51</v>
      </c>
      <c r="B15" s="72" t="s">
        <v>125</v>
      </c>
      <c r="C15" s="37" t="s">
        <v>127</v>
      </c>
      <c r="D15" s="37">
        <v>1500</v>
      </c>
      <c r="E15" s="37">
        <f>'685WK'!M34</f>
        <v>1539</v>
      </c>
      <c r="F15" s="73">
        <f>'685WK'!N28</f>
        <v>22</v>
      </c>
      <c r="G15" s="38">
        <f t="shared" si="0"/>
        <v>0.69115199999999999</v>
      </c>
      <c r="H15" s="35"/>
      <c r="I15" s="35"/>
      <c r="J15" s="35"/>
      <c r="K15" s="73">
        <v>51</v>
      </c>
      <c r="L15" s="73">
        <v>28</v>
      </c>
      <c r="M15" s="73">
        <v>22</v>
      </c>
      <c r="N15" s="35">
        <f t="shared" si="1"/>
        <v>1539</v>
      </c>
      <c r="O15" s="35">
        <f t="shared" si="2"/>
        <v>22</v>
      </c>
      <c r="P15" s="38">
        <f t="shared" si="3"/>
        <v>0.69115199999999999</v>
      </c>
      <c r="Q15" s="75">
        <f t="shared" si="4"/>
        <v>39</v>
      </c>
      <c r="R15" s="61">
        <f t="shared" si="5"/>
        <v>2.5999999999999999E-2</v>
      </c>
    </row>
    <row r="16" spans="1:23" ht="20.100000000000001" customHeight="1">
      <c r="A16" s="41" t="s">
        <v>52</v>
      </c>
      <c r="B16" s="72" t="s">
        <v>129</v>
      </c>
      <c r="C16" s="37" t="s">
        <v>99</v>
      </c>
      <c r="D16" s="37">
        <v>1550</v>
      </c>
      <c r="E16" s="37">
        <f>'688WK'!M32</f>
        <v>1569</v>
      </c>
      <c r="F16" s="73">
        <f>'688WK'!N26</f>
        <v>22</v>
      </c>
      <c r="G16" s="38">
        <f t="shared" si="0"/>
        <v>0.69115199999999999</v>
      </c>
      <c r="H16" s="35"/>
      <c r="I16" s="35"/>
      <c r="J16" s="35"/>
      <c r="K16" s="73">
        <v>51</v>
      </c>
      <c r="L16" s="73">
        <v>28</v>
      </c>
      <c r="M16" s="73">
        <v>22</v>
      </c>
      <c r="N16" s="35">
        <f t="shared" si="1"/>
        <v>1569</v>
      </c>
      <c r="O16" s="35">
        <f t="shared" si="2"/>
        <v>22</v>
      </c>
      <c r="P16" s="38">
        <f t="shared" si="3"/>
        <v>0.69115199999999999</v>
      </c>
      <c r="Q16" s="75">
        <f t="shared" si="4"/>
        <v>19</v>
      </c>
      <c r="R16" s="61">
        <f t="shared" si="5"/>
        <v>1.2258064516129033E-2</v>
      </c>
    </row>
    <row r="17" spans="1:18" ht="20.100000000000001" customHeight="1">
      <c r="A17" s="41" t="s">
        <v>53</v>
      </c>
      <c r="B17" s="72" t="s">
        <v>131</v>
      </c>
      <c r="C17" s="37" t="s">
        <v>133</v>
      </c>
      <c r="D17" s="37">
        <v>1200</v>
      </c>
      <c r="E17" s="37">
        <f>'220DF'!M33</f>
        <v>1243</v>
      </c>
      <c r="F17" s="76">
        <f>'220DF'!N27</f>
        <v>33</v>
      </c>
      <c r="G17" s="38">
        <f t="shared" si="0"/>
        <v>1.6516499999999998</v>
      </c>
      <c r="H17" s="35"/>
      <c r="I17" s="35"/>
      <c r="J17" s="35"/>
      <c r="K17" s="76">
        <v>55</v>
      </c>
      <c r="L17" s="76">
        <v>35</v>
      </c>
      <c r="M17" s="76">
        <v>26</v>
      </c>
      <c r="N17" s="35">
        <f t="shared" si="1"/>
        <v>1243</v>
      </c>
      <c r="O17" s="35">
        <f t="shared" si="2"/>
        <v>33</v>
      </c>
      <c r="P17" s="38">
        <f t="shared" si="3"/>
        <v>1.6516499999999998</v>
      </c>
      <c r="Q17" s="91">
        <f t="shared" si="4"/>
        <v>43</v>
      </c>
      <c r="R17" s="61">
        <f t="shared" si="5"/>
        <v>3.5833333333333335E-2</v>
      </c>
    </row>
    <row r="18" spans="1:18" ht="20.100000000000001" customHeight="1">
      <c r="A18" s="41" t="s">
        <v>54</v>
      </c>
      <c r="B18" s="72" t="s">
        <v>135</v>
      </c>
      <c r="C18" s="37" t="s">
        <v>137</v>
      </c>
      <c r="D18" s="37">
        <v>1560</v>
      </c>
      <c r="E18" s="37">
        <f>'221DF'!M33</f>
        <v>1427</v>
      </c>
      <c r="F18" s="76">
        <f>'221DF'!N27</f>
        <v>38</v>
      </c>
      <c r="G18" s="38">
        <f t="shared" si="0"/>
        <v>1.9018999999999999</v>
      </c>
      <c r="H18" s="35"/>
      <c r="I18" s="35"/>
      <c r="J18" s="35"/>
      <c r="K18" s="76">
        <v>55</v>
      </c>
      <c r="L18" s="76">
        <v>35</v>
      </c>
      <c r="M18" s="76">
        <v>26</v>
      </c>
      <c r="N18" s="35">
        <f t="shared" si="1"/>
        <v>1427</v>
      </c>
      <c r="O18" s="35">
        <f t="shared" si="2"/>
        <v>38</v>
      </c>
      <c r="P18" s="38">
        <f t="shared" si="3"/>
        <v>1.9018999999999999</v>
      </c>
      <c r="Q18" s="83">
        <f t="shared" si="4"/>
        <v>-133</v>
      </c>
      <c r="R18" s="61">
        <f t="shared" si="5"/>
        <v>-8.5256410256410259E-2</v>
      </c>
    </row>
    <row r="19" spans="1:18" ht="20.100000000000001" customHeight="1">
      <c r="A19" s="41" t="s">
        <v>55</v>
      </c>
      <c r="B19" s="72" t="s">
        <v>138</v>
      </c>
      <c r="C19" s="37" t="s">
        <v>99</v>
      </c>
      <c r="D19" s="37">
        <v>1350</v>
      </c>
      <c r="E19" s="37">
        <f>'271R'!M32</f>
        <v>1420</v>
      </c>
      <c r="F19" s="76">
        <f>'271R'!N26</f>
        <v>50</v>
      </c>
      <c r="G19" s="38">
        <f t="shared" si="0"/>
        <v>2.5024999999999999</v>
      </c>
      <c r="H19" s="35"/>
      <c r="I19" s="35"/>
      <c r="J19" s="35"/>
      <c r="K19" s="76">
        <v>55</v>
      </c>
      <c r="L19" s="76">
        <v>35</v>
      </c>
      <c r="M19" s="76">
        <v>26</v>
      </c>
      <c r="N19" s="35">
        <f t="shared" si="1"/>
        <v>1420</v>
      </c>
      <c r="O19" s="35">
        <f t="shared" si="2"/>
        <v>50</v>
      </c>
      <c r="P19" s="38">
        <f t="shared" si="3"/>
        <v>2.5024999999999999</v>
      </c>
      <c r="Q19" s="83">
        <f t="shared" si="4"/>
        <v>70</v>
      </c>
      <c r="R19" s="61">
        <f t="shared" si="5"/>
        <v>5.185185185185185E-2</v>
      </c>
    </row>
    <row r="20" spans="1:18" ht="20.100000000000001" customHeight="1">
      <c r="A20" s="41" t="s">
        <v>56</v>
      </c>
      <c r="B20" s="72" t="s">
        <v>141</v>
      </c>
      <c r="C20" s="37" t="s">
        <v>137</v>
      </c>
      <c r="D20" s="37">
        <v>1650</v>
      </c>
      <c r="E20" s="37">
        <f>'KMP58'!M33</f>
        <v>1683</v>
      </c>
      <c r="F20" s="83">
        <f>'KMP58'!N27</f>
        <v>70</v>
      </c>
      <c r="G20" s="38">
        <f t="shared" si="0"/>
        <v>3.2032000000000003</v>
      </c>
      <c r="H20" s="35"/>
      <c r="I20" s="35"/>
      <c r="J20" s="35"/>
      <c r="K20" s="83">
        <v>55</v>
      </c>
      <c r="L20" s="83">
        <v>32</v>
      </c>
      <c r="M20" s="83">
        <v>26</v>
      </c>
      <c r="N20" s="35">
        <f t="shared" si="1"/>
        <v>1683</v>
      </c>
      <c r="O20" s="35">
        <f t="shared" si="2"/>
        <v>70</v>
      </c>
      <c r="P20" s="38">
        <f t="shared" si="3"/>
        <v>3.2032000000000003</v>
      </c>
      <c r="Q20" s="92">
        <f t="shared" si="4"/>
        <v>33</v>
      </c>
      <c r="R20" s="61">
        <f t="shared" si="5"/>
        <v>0.02</v>
      </c>
    </row>
    <row r="21" spans="1:18" ht="20.100000000000001" customHeight="1">
      <c r="A21" s="41" t="s">
        <v>57</v>
      </c>
      <c r="B21" s="72" t="s">
        <v>144</v>
      </c>
      <c r="C21" s="37" t="s">
        <v>146</v>
      </c>
      <c r="D21" s="37">
        <v>1430</v>
      </c>
      <c r="E21" s="37">
        <f>'KMT41'!M34</f>
        <v>1470</v>
      </c>
      <c r="F21" s="76">
        <f>'KMT41'!N28</f>
        <v>29</v>
      </c>
      <c r="G21" s="38">
        <f t="shared" si="0"/>
        <v>1.4514499999999999</v>
      </c>
      <c r="H21" s="35"/>
      <c r="I21" s="35"/>
      <c r="J21" s="35"/>
      <c r="K21" s="76">
        <v>55</v>
      </c>
      <c r="L21" s="76">
        <v>35</v>
      </c>
      <c r="M21" s="76">
        <v>26</v>
      </c>
      <c r="N21" s="35">
        <f t="shared" si="1"/>
        <v>1470</v>
      </c>
      <c r="O21" s="35">
        <f t="shared" si="2"/>
        <v>29</v>
      </c>
      <c r="P21" s="38">
        <f t="shared" si="3"/>
        <v>1.4514499999999999</v>
      </c>
      <c r="Q21" s="92">
        <f t="shared" si="4"/>
        <v>40</v>
      </c>
      <c r="R21" s="61">
        <f t="shared" si="5"/>
        <v>2.7972027972027972E-2</v>
      </c>
    </row>
    <row r="22" spans="1:18" ht="20.100000000000001" customHeight="1">
      <c r="A22" s="41" t="s">
        <v>58</v>
      </c>
      <c r="B22" s="72" t="s">
        <v>97</v>
      </c>
      <c r="C22" s="37" t="s">
        <v>90</v>
      </c>
      <c r="D22" s="37">
        <v>1300</v>
      </c>
      <c r="E22" s="37">
        <f>'KMT42'!M33</f>
        <v>1337</v>
      </c>
      <c r="F22" s="76">
        <f>'KMT42'!N27</f>
        <v>28</v>
      </c>
      <c r="G22" s="38">
        <f t="shared" si="0"/>
        <v>1.4014</v>
      </c>
      <c r="H22" s="35"/>
      <c r="I22" s="35"/>
      <c r="J22" s="35"/>
      <c r="K22" s="76">
        <v>55</v>
      </c>
      <c r="L22" s="76">
        <v>35</v>
      </c>
      <c r="M22" s="76">
        <v>26</v>
      </c>
      <c r="N22" s="35">
        <f t="shared" si="1"/>
        <v>1337</v>
      </c>
      <c r="O22" s="35">
        <f t="shared" si="2"/>
        <v>28</v>
      </c>
      <c r="P22" s="38">
        <f t="shared" si="3"/>
        <v>1.4014</v>
      </c>
      <c r="Q22" s="92">
        <f t="shared" si="4"/>
        <v>37</v>
      </c>
      <c r="R22" s="61">
        <f t="shared" si="5"/>
        <v>2.8461538461538462E-2</v>
      </c>
    </row>
    <row r="23" spans="1:18" ht="20.100000000000001" customHeight="1">
      <c r="A23" s="41" t="s">
        <v>59</v>
      </c>
      <c r="B23" s="72" t="s">
        <v>148</v>
      </c>
      <c r="C23" s="37" t="s">
        <v>99</v>
      </c>
      <c r="D23" s="37">
        <v>1100</v>
      </c>
      <c r="E23" s="37">
        <f>'KWH88'!M33</f>
        <v>1104</v>
      </c>
      <c r="F23" s="74">
        <f>'KWH88'!N27</f>
        <v>52</v>
      </c>
      <c r="G23" s="38">
        <f t="shared" si="0"/>
        <v>5.1168000000000005</v>
      </c>
      <c r="H23" s="35"/>
      <c r="I23" s="35"/>
      <c r="J23" s="35"/>
      <c r="K23" s="74">
        <v>60</v>
      </c>
      <c r="L23" s="74">
        <v>41</v>
      </c>
      <c r="M23" s="74">
        <v>40</v>
      </c>
      <c r="N23" s="35">
        <f t="shared" si="1"/>
        <v>1104</v>
      </c>
      <c r="O23" s="35">
        <f t="shared" si="2"/>
        <v>52</v>
      </c>
      <c r="P23" s="38">
        <f t="shared" si="3"/>
        <v>5.1168000000000005</v>
      </c>
      <c r="Q23" s="91">
        <f t="shared" si="4"/>
        <v>4</v>
      </c>
      <c r="R23" s="61">
        <f t="shared" si="5"/>
        <v>3.6363636363636364E-3</v>
      </c>
    </row>
    <row r="24" spans="1:18" ht="20.100000000000001" customHeight="1">
      <c r="A24" s="41" t="s">
        <v>60</v>
      </c>
      <c r="B24" s="72" t="s">
        <v>150</v>
      </c>
      <c r="C24" s="37" t="s">
        <v>151</v>
      </c>
      <c r="D24" s="37">
        <v>1000</v>
      </c>
      <c r="E24" s="37">
        <f>'KWT70'!M33</f>
        <v>1029</v>
      </c>
      <c r="F24" s="75">
        <f>'KWT70'!N27</f>
        <v>19</v>
      </c>
      <c r="G24" s="38">
        <f t="shared" si="0"/>
        <v>0.81928000000000001</v>
      </c>
      <c r="H24" s="35"/>
      <c r="I24" s="35"/>
      <c r="J24" s="35"/>
      <c r="K24" s="75">
        <v>55</v>
      </c>
      <c r="L24" s="75">
        <v>28</v>
      </c>
      <c r="M24" s="75">
        <v>28</v>
      </c>
      <c r="N24" s="35">
        <f t="shared" si="1"/>
        <v>1029</v>
      </c>
      <c r="O24" s="35">
        <f t="shared" si="2"/>
        <v>19</v>
      </c>
      <c r="P24" s="38">
        <f t="shared" si="3"/>
        <v>0.81928000000000001</v>
      </c>
      <c r="Q24" s="93">
        <f t="shared" si="4"/>
        <v>29</v>
      </c>
      <c r="R24" s="61">
        <f t="shared" si="5"/>
        <v>2.9000000000000001E-2</v>
      </c>
    </row>
    <row r="25" spans="1:18" ht="20.100000000000001" customHeight="1">
      <c r="A25" s="41" t="s">
        <v>61</v>
      </c>
      <c r="B25" s="72" t="s">
        <v>235</v>
      </c>
      <c r="C25" s="37" t="s">
        <v>137</v>
      </c>
      <c r="D25" s="37">
        <v>2100</v>
      </c>
      <c r="E25" s="37">
        <f>'26QT'!M33</f>
        <v>2123</v>
      </c>
      <c r="F25" s="75">
        <f>'26QT'!N27</f>
        <v>40</v>
      </c>
      <c r="G25" s="38">
        <f t="shared" si="0"/>
        <v>2.0019999999999998</v>
      </c>
      <c r="H25" s="90"/>
      <c r="I25" s="90"/>
      <c r="J25" s="90"/>
      <c r="K25" s="76">
        <v>55</v>
      </c>
      <c r="L25" s="76">
        <v>35</v>
      </c>
      <c r="M25" s="76">
        <v>26</v>
      </c>
      <c r="N25" s="90">
        <f t="shared" si="1"/>
        <v>2123</v>
      </c>
      <c r="O25" s="90">
        <f t="shared" si="2"/>
        <v>40</v>
      </c>
      <c r="P25" s="38">
        <f t="shared" si="3"/>
        <v>2.0019999999999998</v>
      </c>
      <c r="Q25" s="93">
        <f t="shared" si="4"/>
        <v>23</v>
      </c>
      <c r="R25" s="61">
        <f t="shared" si="5"/>
        <v>1.0952380952380953E-2</v>
      </c>
    </row>
    <row r="26" spans="1:18" ht="20.100000000000001" customHeight="1">
      <c r="A26" s="41" t="s">
        <v>62</v>
      </c>
      <c r="B26" s="72" t="s">
        <v>152</v>
      </c>
      <c r="C26" s="37" t="s">
        <v>99</v>
      </c>
      <c r="D26" s="37">
        <v>1650</v>
      </c>
      <c r="E26" s="37">
        <f>'107KP'!M31</f>
        <v>1694</v>
      </c>
      <c r="F26" s="76">
        <f>'107KP'!N25</f>
        <v>33</v>
      </c>
      <c r="G26" s="38">
        <f t="shared" si="0"/>
        <v>1.6516499999999998</v>
      </c>
      <c r="H26" s="35"/>
      <c r="I26" s="35"/>
      <c r="J26" s="35"/>
      <c r="K26" s="76">
        <v>55</v>
      </c>
      <c r="L26" s="76">
        <v>35</v>
      </c>
      <c r="M26" s="76">
        <v>26</v>
      </c>
      <c r="N26" s="35">
        <f t="shared" si="1"/>
        <v>1694</v>
      </c>
      <c r="O26" s="35">
        <f t="shared" si="2"/>
        <v>33</v>
      </c>
      <c r="P26" s="38">
        <f t="shared" si="3"/>
        <v>1.6516499999999998</v>
      </c>
      <c r="Q26" s="76">
        <f t="shared" si="4"/>
        <v>44</v>
      </c>
      <c r="R26" s="61">
        <f t="shared" si="5"/>
        <v>2.6666666666666668E-2</v>
      </c>
    </row>
    <row r="27" spans="1:18" ht="20.100000000000001" customHeight="1">
      <c r="A27" s="41" t="s">
        <v>63</v>
      </c>
      <c r="B27" s="72" t="s">
        <v>153</v>
      </c>
      <c r="C27" s="37" t="s">
        <v>155</v>
      </c>
      <c r="D27" s="37">
        <v>1500</v>
      </c>
      <c r="E27" s="37">
        <f>'134KP'!M31</f>
        <v>1531</v>
      </c>
      <c r="F27" s="76">
        <f>'134KP'!N25</f>
        <v>30</v>
      </c>
      <c r="G27" s="38">
        <f t="shared" si="0"/>
        <v>1.5014999999999998</v>
      </c>
      <c r="H27" s="35"/>
      <c r="I27" s="35"/>
      <c r="J27" s="35"/>
      <c r="K27" s="76">
        <v>55</v>
      </c>
      <c r="L27" s="76">
        <v>35</v>
      </c>
      <c r="M27" s="76">
        <v>26</v>
      </c>
      <c r="N27" s="35">
        <f t="shared" si="1"/>
        <v>1531</v>
      </c>
      <c r="O27" s="35">
        <f t="shared" si="2"/>
        <v>30</v>
      </c>
      <c r="P27" s="38">
        <f t="shared" si="3"/>
        <v>1.5014999999999998</v>
      </c>
      <c r="Q27" s="76">
        <f t="shared" si="4"/>
        <v>31</v>
      </c>
      <c r="R27" s="61">
        <f t="shared" si="5"/>
        <v>2.0666666666666667E-2</v>
      </c>
    </row>
    <row r="28" spans="1:18" ht="20.100000000000001" customHeight="1">
      <c r="A28" s="41" t="s">
        <v>64</v>
      </c>
      <c r="B28" s="72" t="s">
        <v>156</v>
      </c>
      <c r="C28" s="37" t="s">
        <v>104</v>
      </c>
      <c r="D28" s="37">
        <v>1860</v>
      </c>
      <c r="E28" s="37">
        <f>'137KP'!M34</f>
        <v>1904</v>
      </c>
      <c r="F28" s="76">
        <f>'137KP'!N28</f>
        <v>34</v>
      </c>
      <c r="G28" s="38">
        <f t="shared" si="0"/>
        <v>1.7017</v>
      </c>
      <c r="H28" s="35"/>
      <c r="I28" s="35"/>
      <c r="J28" s="35"/>
      <c r="K28" s="76">
        <v>55</v>
      </c>
      <c r="L28" s="76">
        <v>35</v>
      </c>
      <c r="M28" s="76">
        <v>26</v>
      </c>
      <c r="N28" s="35">
        <f t="shared" si="1"/>
        <v>1904</v>
      </c>
      <c r="O28" s="35">
        <f t="shared" si="2"/>
        <v>34</v>
      </c>
      <c r="P28" s="38">
        <f t="shared" si="3"/>
        <v>1.7017</v>
      </c>
      <c r="Q28" s="83">
        <f t="shared" si="4"/>
        <v>44</v>
      </c>
      <c r="R28" s="61">
        <f t="shared" si="5"/>
        <v>2.3655913978494623E-2</v>
      </c>
    </row>
    <row r="29" spans="1:18" ht="20.100000000000001" customHeight="1">
      <c r="A29" s="41" t="s">
        <v>65</v>
      </c>
      <c r="B29" s="72" t="s">
        <v>157</v>
      </c>
      <c r="C29" s="37" t="s">
        <v>159</v>
      </c>
      <c r="D29" s="37">
        <v>1700</v>
      </c>
      <c r="E29" s="37">
        <f>'160KP'!M32</f>
        <v>1735</v>
      </c>
      <c r="F29" s="76">
        <f>'160KP'!N26</f>
        <v>35</v>
      </c>
      <c r="G29" s="38">
        <f t="shared" si="0"/>
        <v>1.7517499999999999</v>
      </c>
      <c r="H29" s="35"/>
      <c r="I29" s="35"/>
      <c r="J29" s="35"/>
      <c r="K29" s="76">
        <v>55</v>
      </c>
      <c r="L29" s="76">
        <v>35</v>
      </c>
      <c r="M29" s="76">
        <v>26</v>
      </c>
      <c r="N29" s="35">
        <f t="shared" si="1"/>
        <v>1735</v>
      </c>
      <c r="O29" s="35">
        <f t="shared" si="2"/>
        <v>35</v>
      </c>
      <c r="P29" s="38">
        <f t="shared" si="3"/>
        <v>1.7517499999999999</v>
      </c>
      <c r="Q29" s="76">
        <f t="shared" si="4"/>
        <v>35</v>
      </c>
      <c r="R29" s="61">
        <f t="shared" si="5"/>
        <v>2.0588235294117647E-2</v>
      </c>
    </row>
    <row r="30" spans="1:18" ht="20.100000000000001" customHeight="1">
      <c r="A30" s="41" t="s">
        <v>66</v>
      </c>
      <c r="B30" s="72" t="s">
        <v>100</v>
      </c>
      <c r="C30" s="37" t="s">
        <v>99</v>
      </c>
      <c r="D30" s="37">
        <v>1600</v>
      </c>
      <c r="E30" s="37">
        <f>'600KP'!M32</f>
        <v>1649</v>
      </c>
      <c r="F30" s="76">
        <f>'600KP'!N26</f>
        <v>32</v>
      </c>
      <c r="G30" s="38">
        <f t="shared" si="0"/>
        <v>1.6015999999999999</v>
      </c>
      <c r="H30" s="35"/>
      <c r="I30" s="35"/>
      <c r="J30" s="35"/>
      <c r="K30" s="76">
        <v>55</v>
      </c>
      <c r="L30" s="76">
        <v>35</v>
      </c>
      <c r="M30" s="76">
        <v>26</v>
      </c>
      <c r="N30" s="35">
        <f t="shared" si="1"/>
        <v>1649</v>
      </c>
      <c r="O30" s="35">
        <f t="shared" si="2"/>
        <v>32</v>
      </c>
      <c r="P30" s="38">
        <f t="shared" si="3"/>
        <v>1.6015999999999999</v>
      </c>
      <c r="Q30" s="91">
        <f t="shared" si="4"/>
        <v>49</v>
      </c>
      <c r="R30" s="61">
        <f t="shared" si="5"/>
        <v>3.0624999999999999E-2</v>
      </c>
    </row>
    <row r="31" spans="1:18" ht="20.100000000000001" customHeight="1">
      <c r="A31" s="41" t="s">
        <v>67</v>
      </c>
      <c r="B31" s="72" t="s">
        <v>160</v>
      </c>
      <c r="C31" s="37" t="s">
        <v>162</v>
      </c>
      <c r="D31" s="37">
        <v>2000</v>
      </c>
      <c r="E31" s="37">
        <f>'604KP'!M32</f>
        <v>2056</v>
      </c>
      <c r="F31" s="76">
        <f>'604KP'!N26</f>
        <v>39</v>
      </c>
      <c r="G31" s="38">
        <f t="shared" si="0"/>
        <v>1.9519499999999999</v>
      </c>
      <c r="H31" s="35"/>
      <c r="I31" s="35"/>
      <c r="J31" s="35"/>
      <c r="K31" s="76">
        <v>55</v>
      </c>
      <c r="L31" s="76">
        <v>35</v>
      </c>
      <c r="M31" s="76">
        <v>26</v>
      </c>
      <c r="N31" s="35">
        <f t="shared" si="1"/>
        <v>2056</v>
      </c>
      <c r="O31" s="35">
        <f t="shared" si="2"/>
        <v>39</v>
      </c>
      <c r="P31" s="38">
        <f t="shared" si="3"/>
        <v>1.9519499999999999</v>
      </c>
      <c r="Q31" s="91">
        <f t="shared" si="4"/>
        <v>56</v>
      </c>
      <c r="R31" s="61">
        <f t="shared" si="5"/>
        <v>2.8000000000000001E-2</v>
      </c>
    </row>
    <row r="32" spans="1:18" ht="20.100000000000001" customHeight="1">
      <c r="A32" s="41" t="s">
        <v>68</v>
      </c>
      <c r="B32" s="72" t="s">
        <v>164</v>
      </c>
      <c r="C32" s="37" t="s">
        <v>166</v>
      </c>
      <c r="D32" s="37">
        <v>1470</v>
      </c>
      <c r="E32" s="37">
        <f>'606KP'!M32</f>
        <v>1507</v>
      </c>
      <c r="F32" s="76">
        <f>'606KP'!N26</f>
        <v>29</v>
      </c>
      <c r="G32" s="38">
        <f t="shared" si="0"/>
        <v>1.4514499999999999</v>
      </c>
      <c r="H32" s="35"/>
      <c r="I32" s="35"/>
      <c r="J32" s="35"/>
      <c r="K32" s="76">
        <v>55</v>
      </c>
      <c r="L32" s="76">
        <v>35</v>
      </c>
      <c r="M32" s="76">
        <v>26</v>
      </c>
      <c r="N32" s="35">
        <f t="shared" si="1"/>
        <v>1507</v>
      </c>
      <c r="O32" s="35">
        <f t="shared" si="2"/>
        <v>29</v>
      </c>
      <c r="P32" s="38">
        <f t="shared" si="3"/>
        <v>1.4514499999999999</v>
      </c>
      <c r="Q32" s="76">
        <f t="shared" si="4"/>
        <v>37</v>
      </c>
      <c r="R32" s="61">
        <f t="shared" si="5"/>
        <v>2.5170068027210883E-2</v>
      </c>
    </row>
    <row r="33" spans="1:18" ht="20.100000000000001" customHeight="1">
      <c r="A33" s="41" t="s">
        <v>69</v>
      </c>
      <c r="B33" s="72" t="s">
        <v>174</v>
      </c>
      <c r="C33" s="37" t="s">
        <v>201</v>
      </c>
      <c r="D33" s="37">
        <v>1610</v>
      </c>
      <c r="E33" s="37">
        <f>'08WK'!M32</f>
        <v>1604</v>
      </c>
      <c r="F33" s="76">
        <f>'08WK'!N26</f>
        <v>32</v>
      </c>
      <c r="G33" s="38">
        <f t="shared" si="0"/>
        <v>1.6015999999999999</v>
      </c>
      <c r="H33" s="35"/>
      <c r="I33" s="35"/>
      <c r="J33" s="35"/>
      <c r="K33" s="76">
        <v>55</v>
      </c>
      <c r="L33" s="76">
        <v>35</v>
      </c>
      <c r="M33" s="76">
        <v>26</v>
      </c>
      <c r="N33" s="35">
        <f t="shared" si="1"/>
        <v>1604</v>
      </c>
      <c r="O33" s="35">
        <f t="shared" si="2"/>
        <v>32</v>
      </c>
      <c r="P33" s="38">
        <f t="shared" si="3"/>
        <v>1.6015999999999999</v>
      </c>
      <c r="Q33" s="83">
        <f t="shared" si="4"/>
        <v>-6</v>
      </c>
      <c r="R33" s="61">
        <f t="shared" si="5"/>
        <v>-3.7267080745341614E-3</v>
      </c>
    </row>
    <row r="34" spans="1:18" ht="20.100000000000001" customHeight="1">
      <c r="A34" s="41" t="s">
        <v>70</v>
      </c>
      <c r="B34" s="72" t="s">
        <v>200</v>
      </c>
      <c r="C34" s="37" t="s">
        <v>99</v>
      </c>
      <c r="D34" s="37">
        <v>1130</v>
      </c>
      <c r="E34" s="37">
        <f>'14WK'!M32</f>
        <v>1140</v>
      </c>
      <c r="F34" s="76">
        <f>'14WK'!N26</f>
        <v>25</v>
      </c>
      <c r="G34" s="38">
        <f t="shared" si="0"/>
        <v>1.25125</v>
      </c>
      <c r="H34" s="35"/>
      <c r="I34" s="35"/>
      <c r="J34" s="35"/>
      <c r="K34" s="76">
        <v>55</v>
      </c>
      <c r="L34" s="76">
        <v>35</v>
      </c>
      <c r="M34" s="76">
        <v>26</v>
      </c>
      <c r="N34" s="35">
        <f t="shared" si="1"/>
        <v>1140</v>
      </c>
      <c r="O34" s="35">
        <f t="shared" si="2"/>
        <v>25</v>
      </c>
      <c r="P34" s="38">
        <f t="shared" si="3"/>
        <v>1.25125</v>
      </c>
      <c r="Q34" s="76">
        <f t="shared" si="4"/>
        <v>10</v>
      </c>
      <c r="R34" s="61">
        <f t="shared" si="5"/>
        <v>8.8495575221238937E-3</v>
      </c>
    </row>
    <row r="35" spans="1:18" ht="20.100000000000001" customHeight="1">
      <c r="A35" s="41" t="s">
        <v>71</v>
      </c>
      <c r="B35" s="72" t="s">
        <v>177</v>
      </c>
      <c r="C35" s="37" t="s">
        <v>179</v>
      </c>
      <c r="D35" s="37">
        <v>1480</v>
      </c>
      <c r="E35" s="37">
        <f>'75WK'!M31</f>
        <v>1521</v>
      </c>
      <c r="F35" s="76">
        <f>'75WK'!N25</f>
        <v>29</v>
      </c>
      <c r="G35" s="38">
        <f t="shared" si="0"/>
        <v>1.4514499999999999</v>
      </c>
      <c r="H35" s="35"/>
      <c r="I35" s="35"/>
      <c r="J35" s="35"/>
      <c r="K35" s="76">
        <v>55</v>
      </c>
      <c r="L35" s="76">
        <v>35</v>
      </c>
      <c r="M35" s="76">
        <v>26</v>
      </c>
      <c r="N35" s="35">
        <f t="shared" si="1"/>
        <v>1521</v>
      </c>
      <c r="O35" s="35">
        <f t="shared" si="2"/>
        <v>29</v>
      </c>
      <c r="P35" s="38">
        <f t="shared" si="3"/>
        <v>1.4514499999999999</v>
      </c>
      <c r="Q35" s="93">
        <f t="shared" si="4"/>
        <v>41</v>
      </c>
      <c r="R35" s="61">
        <f t="shared" si="5"/>
        <v>2.7702702702702704E-2</v>
      </c>
    </row>
    <row r="36" spans="1:18" ht="20.100000000000001" customHeight="1">
      <c r="A36" s="41" t="s">
        <v>72</v>
      </c>
      <c r="B36" s="72" t="s">
        <v>182</v>
      </c>
      <c r="C36" s="37" t="s">
        <v>181</v>
      </c>
      <c r="D36" s="37">
        <v>1200</v>
      </c>
      <c r="E36" s="37">
        <f>'81WK'!M32</f>
        <v>1190</v>
      </c>
      <c r="F36" s="76">
        <f>'81WK'!N26</f>
        <v>24</v>
      </c>
      <c r="G36" s="38">
        <f t="shared" si="0"/>
        <v>1.2012</v>
      </c>
      <c r="H36" s="35"/>
      <c r="I36" s="35"/>
      <c r="J36" s="35"/>
      <c r="K36" s="76">
        <v>55</v>
      </c>
      <c r="L36" s="76">
        <v>35</v>
      </c>
      <c r="M36" s="76">
        <v>26</v>
      </c>
      <c r="N36" s="35">
        <f t="shared" si="1"/>
        <v>1190</v>
      </c>
      <c r="O36" s="35">
        <f t="shared" si="2"/>
        <v>24</v>
      </c>
      <c r="P36" s="38">
        <f t="shared" si="3"/>
        <v>1.2012</v>
      </c>
      <c r="Q36" s="83">
        <f t="shared" si="4"/>
        <v>-10</v>
      </c>
      <c r="R36" s="61">
        <f t="shared" si="5"/>
        <v>-8.3333333333333332E-3</v>
      </c>
    </row>
    <row r="37" spans="1:18" ht="20.100000000000001" customHeight="1">
      <c r="A37" s="41" t="s">
        <v>73</v>
      </c>
      <c r="B37" s="72" t="s">
        <v>184</v>
      </c>
      <c r="C37" s="37" t="s">
        <v>186</v>
      </c>
      <c r="D37" s="37">
        <v>1060</v>
      </c>
      <c r="E37" s="37">
        <f>'157WK'!M32</f>
        <v>1071</v>
      </c>
      <c r="F37" s="76">
        <f>'157WK'!N26</f>
        <v>21</v>
      </c>
      <c r="G37" s="38">
        <f t="shared" si="0"/>
        <v>1.05105</v>
      </c>
      <c r="H37" s="35"/>
      <c r="I37" s="35"/>
      <c r="J37" s="35"/>
      <c r="K37" s="76">
        <v>55</v>
      </c>
      <c r="L37" s="76">
        <v>35</v>
      </c>
      <c r="M37" s="76">
        <v>26</v>
      </c>
      <c r="N37" s="35">
        <f t="shared" si="1"/>
        <v>1071</v>
      </c>
      <c r="O37" s="35">
        <f t="shared" si="2"/>
        <v>21</v>
      </c>
      <c r="P37" s="38">
        <f t="shared" si="3"/>
        <v>1.05105</v>
      </c>
      <c r="Q37" s="75">
        <f t="shared" si="4"/>
        <v>11</v>
      </c>
      <c r="R37" s="61">
        <f t="shared" si="5"/>
        <v>1.0377358490566037E-2</v>
      </c>
    </row>
    <row r="38" spans="1:18" ht="20.100000000000001" customHeight="1">
      <c r="A38" s="41" t="s">
        <v>74</v>
      </c>
      <c r="B38" s="72" t="s">
        <v>189</v>
      </c>
      <c r="C38" s="37" t="s">
        <v>202</v>
      </c>
      <c r="D38" s="37">
        <v>1410</v>
      </c>
      <c r="E38" s="37">
        <f>'161WK'!M33</f>
        <v>1427</v>
      </c>
      <c r="F38" s="76">
        <f>'161WK'!N27</f>
        <v>28</v>
      </c>
      <c r="G38" s="38">
        <f t="shared" si="0"/>
        <v>1.4014</v>
      </c>
      <c r="H38" s="35"/>
      <c r="I38" s="35"/>
      <c r="J38" s="35"/>
      <c r="K38" s="76">
        <v>55</v>
      </c>
      <c r="L38" s="76">
        <v>35</v>
      </c>
      <c r="M38" s="76">
        <v>26</v>
      </c>
      <c r="N38" s="35">
        <f t="shared" si="1"/>
        <v>1427</v>
      </c>
      <c r="O38" s="35">
        <f t="shared" si="2"/>
        <v>28</v>
      </c>
      <c r="P38" s="38">
        <f t="shared" si="3"/>
        <v>1.4014</v>
      </c>
      <c r="Q38" s="91">
        <f t="shared" si="4"/>
        <v>17</v>
      </c>
      <c r="R38" s="61">
        <f t="shared" si="5"/>
        <v>1.2056737588652482E-2</v>
      </c>
    </row>
    <row r="39" spans="1:18" ht="20.100000000000001" customHeight="1">
      <c r="A39" s="41" t="s">
        <v>75</v>
      </c>
      <c r="B39" s="72" t="s">
        <v>190</v>
      </c>
      <c r="C39" s="37" t="s">
        <v>192</v>
      </c>
      <c r="D39" s="37">
        <v>1590</v>
      </c>
      <c r="E39" s="37">
        <f>'165KA'!M33</f>
        <v>1611</v>
      </c>
      <c r="F39" s="76">
        <f>'165KA'!N27</f>
        <v>33</v>
      </c>
      <c r="G39" s="38">
        <f t="shared" si="0"/>
        <v>1.6516499999999998</v>
      </c>
      <c r="H39" s="35"/>
      <c r="I39" s="35"/>
      <c r="J39" s="35"/>
      <c r="K39" s="76">
        <v>55</v>
      </c>
      <c r="L39" s="76">
        <v>35</v>
      </c>
      <c r="M39" s="76">
        <v>26</v>
      </c>
      <c r="N39" s="35">
        <f t="shared" si="1"/>
        <v>1611</v>
      </c>
      <c r="O39" s="35">
        <f t="shared" si="2"/>
        <v>33</v>
      </c>
      <c r="P39" s="38">
        <f t="shared" si="3"/>
        <v>1.6516499999999998</v>
      </c>
      <c r="Q39" s="92">
        <f t="shared" si="4"/>
        <v>21</v>
      </c>
      <c r="R39" s="61">
        <f t="shared" si="5"/>
        <v>1.3207547169811321E-2</v>
      </c>
    </row>
    <row r="40" spans="1:18" ht="20.100000000000001" customHeight="1">
      <c r="A40" s="41" t="s">
        <v>76</v>
      </c>
      <c r="B40" s="72" t="s">
        <v>193</v>
      </c>
      <c r="C40" s="37" t="s">
        <v>137</v>
      </c>
      <c r="D40" s="37">
        <v>1600</v>
      </c>
      <c r="E40" s="37">
        <f>'166NA'!M32</f>
        <v>1647</v>
      </c>
      <c r="F40" s="76">
        <f>'166NA'!N26</f>
        <v>32</v>
      </c>
      <c r="G40" s="38">
        <f t="shared" si="0"/>
        <v>1.6015999999999999</v>
      </c>
      <c r="H40" s="35"/>
      <c r="I40" s="35"/>
      <c r="J40" s="35"/>
      <c r="K40" s="76">
        <v>55</v>
      </c>
      <c r="L40" s="76">
        <v>35</v>
      </c>
      <c r="M40" s="76">
        <v>26</v>
      </c>
      <c r="N40" s="35">
        <f t="shared" si="1"/>
        <v>1647</v>
      </c>
      <c r="O40" s="35">
        <f t="shared" si="2"/>
        <v>32</v>
      </c>
      <c r="P40" s="38">
        <f t="shared" si="3"/>
        <v>1.6015999999999999</v>
      </c>
      <c r="Q40" s="92">
        <f t="shared" si="4"/>
        <v>47</v>
      </c>
      <c r="R40" s="61">
        <f t="shared" si="5"/>
        <v>2.9374999999999998E-2</v>
      </c>
    </row>
    <row r="41" spans="1:18" ht="20.100000000000001" customHeight="1">
      <c r="A41" s="41" t="s">
        <v>77</v>
      </c>
      <c r="B41" s="72" t="s">
        <v>195</v>
      </c>
      <c r="C41" s="37" t="s">
        <v>99</v>
      </c>
      <c r="D41" s="37">
        <v>1900</v>
      </c>
      <c r="E41" s="37">
        <f>'168BL'!M31</f>
        <v>1916</v>
      </c>
      <c r="F41" s="76">
        <f>'168BL'!N25</f>
        <v>37</v>
      </c>
      <c r="G41" s="38">
        <f t="shared" si="0"/>
        <v>1.85185</v>
      </c>
      <c r="H41" s="35"/>
      <c r="I41" s="35"/>
      <c r="J41" s="35"/>
      <c r="K41" s="76">
        <v>55</v>
      </c>
      <c r="L41" s="76">
        <v>35</v>
      </c>
      <c r="M41" s="76">
        <v>26</v>
      </c>
      <c r="N41" s="35">
        <f t="shared" si="1"/>
        <v>1916</v>
      </c>
      <c r="O41" s="35">
        <f t="shared" si="2"/>
        <v>37</v>
      </c>
      <c r="P41" s="38">
        <f t="shared" si="3"/>
        <v>1.85185</v>
      </c>
      <c r="Q41" s="75">
        <f t="shared" si="4"/>
        <v>16</v>
      </c>
      <c r="R41" s="61">
        <f t="shared" si="5"/>
        <v>8.4210526315789472E-3</v>
      </c>
    </row>
    <row r="42" spans="1:18" ht="20.100000000000001" customHeight="1">
      <c r="A42" s="41" t="s">
        <v>78</v>
      </c>
      <c r="B42" s="72" t="s">
        <v>196</v>
      </c>
      <c r="C42" s="37" t="s">
        <v>90</v>
      </c>
      <c r="D42" s="37">
        <v>1530</v>
      </c>
      <c r="E42" s="37">
        <f>'169WK'!M33</f>
        <v>1581</v>
      </c>
      <c r="F42" s="76">
        <f>'169WK'!N27</f>
        <v>31</v>
      </c>
      <c r="G42" s="38">
        <f t="shared" si="0"/>
        <v>1.55155</v>
      </c>
      <c r="H42" s="35"/>
      <c r="I42" s="35"/>
      <c r="J42" s="35"/>
      <c r="K42" s="76">
        <v>55</v>
      </c>
      <c r="L42" s="76">
        <v>35</v>
      </c>
      <c r="M42" s="76">
        <v>26</v>
      </c>
      <c r="N42" s="35">
        <f t="shared" si="1"/>
        <v>1581</v>
      </c>
      <c r="O42" s="35">
        <f t="shared" si="2"/>
        <v>31</v>
      </c>
      <c r="P42" s="38">
        <f t="shared" si="3"/>
        <v>1.55155</v>
      </c>
      <c r="Q42" s="92">
        <f t="shared" si="4"/>
        <v>51</v>
      </c>
      <c r="R42" s="61">
        <f t="shared" si="5"/>
        <v>3.3333333333333333E-2</v>
      </c>
    </row>
    <row r="43" spans="1:18" ht="20.100000000000001" customHeight="1">
      <c r="A43" s="41" t="s">
        <v>79</v>
      </c>
      <c r="B43" s="72" t="s">
        <v>198</v>
      </c>
      <c r="C43" s="37" t="s">
        <v>197</v>
      </c>
      <c r="D43" s="37">
        <v>1720</v>
      </c>
      <c r="E43" s="37">
        <f>'171WK'!M31</f>
        <v>1761</v>
      </c>
      <c r="F43" s="76">
        <f>'171WK'!N25</f>
        <v>34</v>
      </c>
      <c r="G43" s="38">
        <f t="shared" si="0"/>
        <v>1.7017</v>
      </c>
      <c r="H43" s="35"/>
      <c r="I43" s="35"/>
      <c r="J43" s="35"/>
      <c r="K43" s="76">
        <v>55</v>
      </c>
      <c r="L43" s="76">
        <v>35</v>
      </c>
      <c r="M43" s="76">
        <v>26</v>
      </c>
      <c r="N43" s="35">
        <f t="shared" si="1"/>
        <v>1761</v>
      </c>
      <c r="O43" s="35">
        <f t="shared" si="2"/>
        <v>34</v>
      </c>
      <c r="P43" s="38">
        <f t="shared" si="3"/>
        <v>1.7017</v>
      </c>
      <c r="Q43" s="91">
        <f t="shared" si="4"/>
        <v>41</v>
      </c>
      <c r="R43" s="61">
        <f t="shared" si="5"/>
        <v>2.3837209302325583E-2</v>
      </c>
    </row>
    <row r="44" spans="1:18" ht="20.100000000000001" customHeight="1">
      <c r="A44" s="41" t="s">
        <v>80</v>
      </c>
      <c r="B44" s="72" t="s">
        <v>204</v>
      </c>
      <c r="C44" s="37" t="s">
        <v>206</v>
      </c>
      <c r="D44" s="37">
        <v>1650</v>
      </c>
      <c r="E44" s="37">
        <f>'115KP'!M33</f>
        <v>1706</v>
      </c>
      <c r="F44" s="75">
        <f>'115KP'!N27</f>
        <v>25</v>
      </c>
      <c r="G44" s="38">
        <f t="shared" si="0"/>
        <v>1.0780000000000001</v>
      </c>
      <c r="H44" s="35"/>
      <c r="I44" s="35"/>
      <c r="J44" s="35"/>
      <c r="K44" s="75">
        <v>55</v>
      </c>
      <c r="L44" s="75">
        <v>28</v>
      </c>
      <c r="M44" s="75">
        <v>28</v>
      </c>
      <c r="N44" s="35">
        <f t="shared" si="1"/>
        <v>1706</v>
      </c>
      <c r="O44" s="35">
        <f t="shared" si="2"/>
        <v>25</v>
      </c>
      <c r="P44" s="38">
        <f t="shared" si="3"/>
        <v>1.0780000000000001</v>
      </c>
      <c r="Q44" s="92">
        <f t="shared" si="4"/>
        <v>56</v>
      </c>
      <c r="R44" s="61">
        <f t="shared" si="5"/>
        <v>3.3939393939393943E-2</v>
      </c>
    </row>
    <row r="45" spans="1:18" ht="20.100000000000001" customHeight="1">
      <c r="A45" s="41" t="s">
        <v>81</v>
      </c>
      <c r="B45" s="72" t="s">
        <v>207</v>
      </c>
      <c r="C45" s="37" t="s">
        <v>99</v>
      </c>
      <c r="D45" s="37">
        <v>1820</v>
      </c>
      <c r="E45" s="37">
        <f>'119KP'!M33</f>
        <v>1856</v>
      </c>
      <c r="F45" s="75">
        <f>'119KP'!N27</f>
        <v>27</v>
      </c>
      <c r="G45" s="38">
        <f t="shared" si="0"/>
        <v>1.1642399999999999</v>
      </c>
      <c r="H45" s="35"/>
      <c r="I45" s="35"/>
      <c r="J45" s="35"/>
      <c r="K45" s="75">
        <v>55</v>
      </c>
      <c r="L45" s="75">
        <v>28</v>
      </c>
      <c r="M45" s="75">
        <v>28</v>
      </c>
      <c r="N45" s="35">
        <f t="shared" si="1"/>
        <v>1856</v>
      </c>
      <c r="O45" s="35">
        <f t="shared" si="2"/>
        <v>27</v>
      </c>
      <c r="P45" s="38">
        <f t="shared" si="3"/>
        <v>1.1642399999999999</v>
      </c>
      <c r="Q45" s="76">
        <f t="shared" si="4"/>
        <v>36</v>
      </c>
      <c r="R45" s="61">
        <f t="shared" si="5"/>
        <v>1.9780219780219779E-2</v>
      </c>
    </row>
    <row r="46" spans="1:18" ht="20.100000000000001" customHeight="1">
      <c r="A46" s="41" t="s">
        <v>82</v>
      </c>
      <c r="B46" s="72" t="s">
        <v>209</v>
      </c>
      <c r="C46" s="37" t="s">
        <v>210</v>
      </c>
      <c r="D46" s="37">
        <v>1550</v>
      </c>
      <c r="E46" s="37">
        <f>'140KP'!M32</f>
        <v>1562</v>
      </c>
      <c r="F46" s="75">
        <f>'140KP'!N26</f>
        <v>21</v>
      </c>
      <c r="G46" s="38">
        <f t="shared" si="0"/>
        <v>0.90551999999999999</v>
      </c>
      <c r="H46" s="35"/>
      <c r="I46" s="35"/>
      <c r="J46" s="35"/>
      <c r="K46" s="75">
        <v>55</v>
      </c>
      <c r="L46" s="75">
        <v>28</v>
      </c>
      <c r="M46" s="75">
        <v>28</v>
      </c>
      <c r="N46" s="35">
        <f t="shared" si="1"/>
        <v>1562</v>
      </c>
      <c r="O46" s="35">
        <f t="shared" si="2"/>
        <v>21</v>
      </c>
      <c r="P46" s="38">
        <f t="shared" si="3"/>
        <v>0.90551999999999999</v>
      </c>
      <c r="Q46" s="92">
        <f t="shared" si="4"/>
        <v>12</v>
      </c>
      <c r="R46" s="61">
        <f t="shared" si="5"/>
        <v>7.7419354838709677E-3</v>
      </c>
    </row>
    <row r="47" spans="1:18" ht="20.100000000000001" customHeight="1">
      <c r="A47" s="41" t="s">
        <v>83</v>
      </c>
      <c r="B47" s="72" t="s">
        <v>211</v>
      </c>
      <c r="C47" s="37" t="s">
        <v>99</v>
      </c>
      <c r="D47" s="37">
        <v>1600</v>
      </c>
      <c r="E47" s="37">
        <f>'173KP'!M32</f>
        <v>1631</v>
      </c>
      <c r="F47" s="75">
        <f>'173KP'!N26</f>
        <v>24</v>
      </c>
      <c r="G47" s="38">
        <f t="shared" si="0"/>
        <v>1.03488</v>
      </c>
      <c r="H47" s="35"/>
      <c r="I47" s="35"/>
      <c r="J47" s="35"/>
      <c r="K47" s="75">
        <v>55</v>
      </c>
      <c r="L47" s="75">
        <v>28</v>
      </c>
      <c r="M47" s="75">
        <v>28</v>
      </c>
      <c r="N47" s="35">
        <f t="shared" si="1"/>
        <v>1631</v>
      </c>
      <c r="O47" s="35">
        <f t="shared" si="2"/>
        <v>24</v>
      </c>
      <c r="P47" s="38">
        <f t="shared" si="3"/>
        <v>1.03488</v>
      </c>
      <c r="Q47" s="91">
        <f t="shared" si="4"/>
        <v>31</v>
      </c>
      <c r="R47" s="61">
        <f t="shared" si="5"/>
        <v>1.9375E-2</v>
      </c>
    </row>
    <row r="48" spans="1:18" ht="20.100000000000001" customHeight="1">
      <c r="A48" s="41" t="s">
        <v>167</v>
      </c>
      <c r="B48" s="72" t="s">
        <v>214</v>
      </c>
      <c r="C48" s="37" t="s">
        <v>201</v>
      </c>
      <c r="D48" s="37">
        <v>1430</v>
      </c>
      <c r="E48" s="37">
        <f>'24VT'!M34</f>
        <v>1452</v>
      </c>
      <c r="F48" s="75">
        <f>'24VT'!N28</f>
        <v>26</v>
      </c>
      <c r="G48" s="38">
        <f t="shared" si="0"/>
        <v>1.1211199999999999</v>
      </c>
      <c r="H48" s="63"/>
      <c r="I48" s="63"/>
      <c r="J48" s="63"/>
      <c r="K48" s="75">
        <v>55</v>
      </c>
      <c r="L48" s="75">
        <v>28</v>
      </c>
      <c r="M48" s="75">
        <v>28</v>
      </c>
      <c r="N48" s="71">
        <f t="shared" si="1"/>
        <v>1452</v>
      </c>
      <c r="O48" s="71">
        <f t="shared" si="2"/>
        <v>26</v>
      </c>
      <c r="P48" s="38">
        <f t="shared" si="3"/>
        <v>1.1211199999999999</v>
      </c>
      <c r="Q48" s="75">
        <f t="shared" si="4"/>
        <v>22</v>
      </c>
      <c r="R48" s="61">
        <f t="shared" si="5"/>
        <v>1.5384615384615385E-2</v>
      </c>
    </row>
    <row r="49" spans="1:18" ht="20.100000000000001" customHeight="1">
      <c r="A49" s="41" t="s">
        <v>168</v>
      </c>
      <c r="B49" s="72" t="s">
        <v>216</v>
      </c>
      <c r="C49" s="37" t="s">
        <v>218</v>
      </c>
      <c r="D49" s="37">
        <v>1540</v>
      </c>
      <c r="E49" s="37">
        <f>'29FT'!M32</f>
        <v>1559</v>
      </c>
      <c r="F49" s="75">
        <f>'29FT'!N26</f>
        <v>28</v>
      </c>
      <c r="G49" s="38">
        <f t="shared" si="0"/>
        <v>1.20736</v>
      </c>
      <c r="H49" s="63"/>
      <c r="I49" s="63"/>
      <c r="J49" s="63"/>
      <c r="K49" s="75">
        <v>55</v>
      </c>
      <c r="L49" s="75">
        <v>28</v>
      </c>
      <c r="M49" s="75">
        <v>28</v>
      </c>
      <c r="N49" s="71">
        <f t="shared" si="1"/>
        <v>1559</v>
      </c>
      <c r="O49" s="71">
        <f t="shared" si="2"/>
        <v>28</v>
      </c>
      <c r="P49" s="38">
        <f t="shared" si="3"/>
        <v>1.20736</v>
      </c>
      <c r="Q49" s="91">
        <f t="shared" si="4"/>
        <v>19</v>
      </c>
      <c r="R49" s="61">
        <f t="shared" si="5"/>
        <v>1.2337662337662338E-2</v>
      </c>
    </row>
    <row r="50" spans="1:18" ht="20.100000000000001" customHeight="1">
      <c r="A50" s="41" t="s">
        <v>169</v>
      </c>
      <c r="B50" s="72" t="s">
        <v>219</v>
      </c>
      <c r="C50" s="37" t="s">
        <v>127</v>
      </c>
      <c r="D50" s="37">
        <v>1050</v>
      </c>
      <c r="E50" s="37">
        <f>'31VT'!M32</f>
        <v>1055</v>
      </c>
      <c r="F50" s="75">
        <f>'31VT'!N26</f>
        <v>16</v>
      </c>
      <c r="G50" s="38">
        <f t="shared" si="0"/>
        <v>0.68991999999999998</v>
      </c>
      <c r="H50" s="63"/>
      <c r="I50" s="63"/>
      <c r="J50" s="63"/>
      <c r="K50" s="75">
        <v>55</v>
      </c>
      <c r="L50" s="75">
        <v>28</v>
      </c>
      <c r="M50" s="75">
        <v>28</v>
      </c>
      <c r="N50" s="71">
        <f t="shared" si="1"/>
        <v>1055</v>
      </c>
      <c r="O50" s="71">
        <f t="shared" si="2"/>
        <v>16</v>
      </c>
      <c r="P50" s="38">
        <f t="shared" si="3"/>
        <v>0.68991999999999998</v>
      </c>
      <c r="Q50" s="76">
        <f t="shared" si="4"/>
        <v>5</v>
      </c>
      <c r="R50" s="61">
        <f t="shared" si="5"/>
        <v>4.7619047619047623E-3</v>
      </c>
    </row>
    <row r="51" spans="1:18" ht="20.100000000000001" customHeight="1">
      <c r="A51" s="41" t="s">
        <v>170</v>
      </c>
      <c r="B51" s="72" t="s">
        <v>221</v>
      </c>
      <c r="C51" s="37" t="s">
        <v>223</v>
      </c>
      <c r="D51" s="37">
        <v>1600</v>
      </c>
      <c r="E51" s="37">
        <f>'32FT'!M32</f>
        <v>1629</v>
      </c>
      <c r="F51" s="75">
        <f>'32FT'!N26</f>
        <v>28</v>
      </c>
      <c r="G51" s="38">
        <f t="shared" si="0"/>
        <v>1.20736</v>
      </c>
      <c r="H51" s="63"/>
      <c r="I51" s="63"/>
      <c r="J51" s="63"/>
      <c r="K51" s="75">
        <v>55</v>
      </c>
      <c r="L51" s="75">
        <v>28</v>
      </c>
      <c r="M51" s="75">
        <v>28</v>
      </c>
      <c r="N51" s="71">
        <f t="shared" si="1"/>
        <v>1629</v>
      </c>
      <c r="O51" s="71">
        <f t="shared" si="2"/>
        <v>28</v>
      </c>
      <c r="P51" s="38">
        <f t="shared" si="3"/>
        <v>1.20736</v>
      </c>
      <c r="Q51" s="76">
        <f t="shared" si="4"/>
        <v>29</v>
      </c>
      <c r="R51" s="61">
        <f t="shared" si="5"/>
        <v>1.8124999999999999E-2</v>
      </c>
    </row>
    <row r="52" spans="1:18" ht="20.100000000000001" customHeight="1">
      <c r="A52" s="41" t="s">
        <v>171</v>
      </c>
      <c r="B52" s="72" t="s">
        <v>224</v>
      </c>
      <c r="C52" s="37" t="s">
        <v>226</v>
      </c>
      <c r="D52" s="37">
        <v>1750</v>
      </c>
      <c r="E52" s="37">
        <f>'39VT'!M32</f>
        <v>1785</v>
      </c>
      <c r="F52" s="75">
        <f>'39VT'!N26</f>
        <v>30</v>
      </c>
      <c r="G52" s="38">
        <f t="shared" si="0"/>
        <v>1.2935999999999999</v>
      </c>
      <c r="H52" s="63"/>
      <c r="I52" s="63"/>
      <c r="J52" s="63"/>
      <c r="K52" s="75">
        <v>55</v>
      </c>
      <c r="L52" s="75">
        <v>28</v>
      </c>
      <c r="M52" s="75">
        <v>28</v>
      </c>
      <c r="N52" s="71">
        <f t="shared" si="1"/>
        <v>1785</v>
      </c>
      <c r="O52" s="71">
        <f t="shared" si="2"/>
        <v>30</v>
      </c>
      <c r="P52" s="38">
        <f t="shared" si="3"/>
        <v>1.2935999999999999</v>
      </c>
      <c r="Q52" s="92">
        <f t="shared" si="4"/>
        <v>35</v>
      </c>
      <c r="R52" s="61">
        <f t="shared" si="5"/>
        <v>0.02</v>
      </c>
    </row>
    <row r="53" spans="1:18" ht="20.100000000000001" customHeight="1">
      <c r="A53" s="41" t="s">
        <v>172</v>
      </c>
      <c r="B53" s="72" t="s">
        <v>227</v>
      </c>
      <c r="C53" s="37" t="s">
        <v>229</v>
      </c>
      <c r="D53" s="37">
        <v>1060</v>
      </c>
      <c r="E53" s="37">
        <f>'50FT'!M32</f>
        <v>1084</v>
      </c>
      <c r="F53" s="75">
        <f>'50FT'!N26</f>
        <v>19</v>
      </c>
      <c r="G53" s="38">
        <f t="shared" si="0"/>
        <v>0.81928000000000001</v>
      </c>
      <c r="H53" s="63"/>
      <c r="I53" s="63"/>
      <c r="J53" s="63"/>
      <c r="K53" s="75">
        <v>55</v>
      </c>
      <c r="L53" s="75">
        <v>28</v>
      </c>
      <c r="M53" s="75">
        <v>28</v>
      </c>
      <c r="N53" s="71">
        <f t="shared" si="1"/>
        <v>1084</v>
      </c>
      <c r="O53" s="71">
        <f t="shared" si="2"/>
        <v>19</v>
      </c>
      <c r="P53" s="38">
        <f t="shared" si="3"/>
        <v>0.81928000000000001</v>
      </c>
      <c r="Q53" s="92">
        <f t="shared" si="4"/>
        <v>24</v>
      </c>
      <c r="R53" s="61">
        <f t="shared" si="5"/>
        <v>2.2641509433962263E-2</v>
      </c>
    </row>
    <row r="54" spans="1:18" ht="20.100000000000001" customHeight="1">
      <c r="A54" s="41" t="s">
        <v>173</v>
      </c>
      <c r="B54" s="72" t="s">
        <v>230</v>
      </c>
      <c r="C54" s="37" t="s">
        <v>218</v>
      </c>
      <c r="D54" s="37">
        <v>1180</v>
      </c>
      <c r="E54" s="37">
        <f>'60FT'!M31</f>
        <v>1207</v>
      </c>
      <c r="F54" s="75">
        <f>'60FT'!N25</f>
        <v>23</v>
      </c>
      <c r="G54" s="38">
        <f t="shared" si="0"/>
        <v>0.99175999999999997</v>
      </c>
      <c r="H54" s="63"/>
      <c r="I54" s="63"/>
      <c r="J54" s="63"/>
      <c r="K54" s="75">
        <v>55</v>
      </c>
      <c r="L54" s="75">
        <v>28</v>
      </c>
      <c r="M54" s="75">
        <v>28</v>
      </c>
      <c r="N54" s="71">
        <f t="shared" si="1"/>
        <v>1207</v>
      </c>
      <c r="O54" s="71">
        <f t="shared" si="2"/>
        <v>23</v>
      </c>
      <c r="P54" s="38">
        <f t="shared" si="3"/>
        <v>0.99175999999999997</v>
      </c>
      <c r="Q54" s="92">
        <f t="shared" si="4"/>
        <v>27</v>
      </c>
      <c r="R54" s="61">
        <f t="shared" si="5"/>
        <v>2.288135593220339E-2</v>
      </c>
    </row>
    <row r="55" spans="1:18" ht="20.100000000000001" customHeight="1">
      <c r="A55" s="41" t="s">
        <v>237</v>
      </c>
      <c r="B55" s="72" t="s">
        <v>232</v>
      </c>
      <c r="C55" s="37" t="s">
        <v>99</v>
      </c>
      <c r="D55" s="37">
        <v>1100</v>
      </c>
      <c r="E55" s="37">
        <f>'61FT'!M33</f>
        <v>1124</v>
      </c>
      <c r="F55" s="75">
        <f>'61FT'!N27</f>
        <v>19</v>
      </c>
      <c r="G55" s="38">
        <f t="shared" si="0"/>
        <v>0.81928000000000001</v>
      </c>
      <c r="H55" s="35"/>
      <c r="I55" s="35"/>
      <c r="J55" s="35"/>
      <c r="K55" s="75">
        <v>55</v>
      </c>
      <c r="L55" s="75">
        <v>28</v>
      </c>
      <c r="M55" s="75">
        <v>28</v>
      </c>
      <c r="N55" s="35">
        <f t="shared" si="1"/>
        <v>1124</v>
      </c>
      <c r="O55" s="35">
        <f t="shared" si="2"/>
        <v>19</v>
      </c>
      <c r="P55" s="38">
        <f t="shared" si="3"/>
        <v>0.81928000000000001</v>
      </c>
      <c r="Q55" s="75">
        <f t="shared" si="4"/>
        <v>24</v>
      </c>
      <c r="R55" s="61">
        <f t="shared" si="5"/>
        <v>2.181818181818182E-2</v>
      </c>
    </row>
    <row r="56" spans="1:18" s="40" customFormat="1" ht="20.100000000000001" customHeight="1">
      <c r="A56" s="36"/>
      <c r="B56" s="36"/>
      <c r="C56" s="36"/>
      <c r="D56" s="36">
        <f t="shared" ref="D56:J56" si="6">SUM(D9:D55)</f>
        <v>70270</v>
      </c>
      <c r="E56" s="36">
        <f t="shared" si="6"/>
        <v>71498</v>
      </c>
      <c r="F56" s="36">
        <f t="shared" si="6"/>
        <v>1381</v>
      </c>
      <c r="G56" s="36">
        <f t="shared" si="6"/>
        <v>65.902447999999993</v>
      </c>
      <c r="H56" s="36">
        <f t="shared" si="6"/>
        <v>0</v>
      </c>
      <c r="I56" s="36">
        <f t="shared" si="6"/>
        <v>0</v>
      </c>
      <c r="J56" s="36">
        <f t="shared" si="6"/>
        <v>0</v>
      </c>
      <c r="K56" s="36"/>
      <c r="L56" s="36"/>
      <c r="M56" s="36"/>
      <c r="N56" s="36">
        <f>E56+H56</f>
        <v>71498</v>
      </c>
      <c r="O56" s="36">
        <f>F56+I56</f>
        <v>1381</v>
      </c>
      <c r="P56" s="36">
        <f>G56+J56</f>
        <v>65.902447999999993</v>
      </c>
      <c r="Q56" s="36">
        <f>SUM(Q9:Q55)</f>
        <v>1228</v>
      </c>
      <c r="R56" s="62">
        <f>SUM(R9:R55)/47</f>
        <v>1.7462486347354454E-2</v>
      </c>
    </row>
  </sheetData>
  <mergeCells count="14">
    <mergeCell ref="A1:R1"/>
    <mergeCell ref="A2:R2"/>
    <mergeCell ref="A3:R3"/>
    <mergeCell ref="A5:R5"/>
    <mergeCell ref="A7:A8"/>
    <mergeCell ref="N7:P7"/>
    <mergeCell ref="Q7:Q8"/>
    <mergeCell ref="R7:R8"/>
    <mergeCell ref="B7:B8"/>
    <mergeCell ref="C7:C8"/>
    <mergeCell ref="D7:D8"/>
    <mergeCell ref="E7:G7"/>
    <mergeCell ref="H7:J7"/>
    <mergeCell ref="K7:M7"/>
  </mergeCells>
  <phoneticPr fontId="55" type="noConversion"/>
  <pageMargins left="0.5" right="0.5" top="0.5" bottom="0.5" header="0.3" footer="0.3"/>
  <pageSetup paperSize="9" scale="80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48</vt:i4>
      </vt:variant>
      <vt:variant>
        <vt:lpstr>Named Ranges</vt:lpstr>
      </vt:variant>
      <vt:variant>
        <vt:i4>48</vt:i4>
      </vt:variant>
    </vt:vector>
  </HeadingPairs>
  <TitlesOfParts>
    <vt:vector size="96" baseType="lpstr">
      <vt:lpstr>361KP</vt:lpstr>
      <vt:lpstr>364KP</vt:lpstr>
      <vt:lpstr>368KP</vt:lpstr>
      <vt:lpstr>378KP</vt:lpstr>
      <vt:lpstr>682WK</vt:lpstr>
      <vt:lpstr>683WK</vt:lpstr>
      <vt:lpstr>685WK</vt:lpstr>
      <vt:lpstr>688WK</vt:lpstr>
      <vt:lpstr>220DF</vt:lpstr>
      <vt:lpstr>221DF</vt:lpstr>
      <vt:lpstr>271R</vt:lpstr>
      <vt:lpstr>KMP58</vt:lpstr>
      <vt:lpstr>KMT41</vt:lpstr>
      <vt:lpstr>KMT42</vt:lpstr>
      <vt:lpstr>KWH88</vt:lpstr>
      <vt:lpstr>KWT70</vt:lpstr>
      <vt:lpstr>26QT</vt:lpstr>
      <vt:lpstr>107KP</vt:lpstr>
      <vt:lpstr>134KP</vt:lpstr>
      <vt:lpstr>137KP</vt:lpstr>
      <vt:lpstr>160KP</vt:lpstr>
      <vt:lpstr>600KP</vt:lpstr>
      <vt:lpstr>604KP</vt:lpstr>
      <vt:lpstr>606KP</vt:lpstr>
      <vt:lpstr>08WK</vt:lpstr>
      <vt:lpstr>14WK</vt:lpstr>
      <vt:lpstr>75WK</vt:lpstr>
      <vt:lpstr>81WK</vt:lpstr>
      <vt:lpstr>157WK</vt:lpstr>
      <vt:lpstr>161WK</vt:lpstr>
      <vt:lpstr>165KA</vt:lpstr>
      <vt:lpstr>166NA</vt:lpstr>
      <vt:lpstr>168BL</vt:lpstr>
      <vt:lpstr>169WK</vt:lpstr>
      <vt:lpstr>171WK</vt:lpstr>
      <vt:lpstr>115KP</vt:lpstr>
      <vt:lpstr>119KP</vt:lpstr>
      <vt:lpstr>140KP</vt:lpstr>
      <vt:lpstr>173KP</vt:lpstr>
      <vt:lpstr>24VT</vt:lpstr>
      <vt:lpstr>29FT</vt:lpstr>
      <vt:lpstr>31VT</vt:lpstr>
      <vt:lpstr>32FT</vt:lpstr>
      <vt:lpstr>39VT</vt:lpstr>
      <vt:lpstr>50FT</vt:lpstr>
      <vt:lpstr>60FT</vt:lpstr>
      <vt:lpstr>61FT</vt:lpstr>
      <vt:lpstr>SUMMARY</vt:lpstr>
      <vt:lpstr>'08WK'!Print_Area</vt:lpstr>
      <vt:lpstr>'107KP'!Print_Area</vt:lpstr>
      <vt:lpstr>'115KP'!Print_Area</vt:lpstr>
      <vt:lpstr>'119KP'!Print_Area</vt:lpstr>
      <vt:lpstr>'134KP'!Print_Area</vt:lpstr>
      <vt:lpstr>'137KP'!Print_Area</vt:lpstr>
      <vt:lpstr>'140KP'!Print_Area</vt:lpstr>
      <vt:lpstr>'14WK'!Print_Area</vt:lpstr>
      <vt:lpstr>'157WK'!Print_Area</vt:lpstr>
      <vt:lpstr>'160KP'!Print_Area</vt:lpstr>
      <vt:lpstr>'161WK'!Print_Area</vt:lpstr>
      <vt:lpstr>'165KA'!Print_Area</vt:lpstr>
      <vt:lpstr>'166NA'!Print_Area</vt:lpstr>
      <vt:lpstr>'168BL'!Print_Area</vt:lpstr>
      <vt:lpstr>'169WK'!Print_Area</vt:lpstr>
      <vt:lpstr>'171WK'!Print_Area</vt:lpstr>
      <vt:lpstr>'173KP'!Print_Area</vt:lpstr>
      <vt:lpstr>'220DF'!Print_Area</vt:lpstr>
      <vt:lpstr>'221DF'!Print_Area</vt:lpstr>
      <vt:lpstr>'24VT'!Print_Area</vt:lpstr>
      <vt:lpstr>'26QT'!Print_Area</vt:lpstr>
      <vt:lpstr>'271R'!Print_Area</vt:lpstr>
      <vt:lpstr>'29FT'!Print_Area</vt:lpstr>
      <vt:lpstr>'31VT'!Print_Area</vt:lpstr>
      <vt:lpstr>'32FT'!Print_Area</vt:lpstr>
      <vt:lpstr>'361KP'!Print_Area</vt:lpstr>
      <vt:lpstr>'364KP'!Print_Area</vt:lpstr>
      <vt:lpstr>'368KP'!Print_Area</vt:lpstr>
      <vt:lpstr>'378KP'!Print_Area</vt:lpstr>
      <vt:lpstr>'39VT'!Print_Area</vt:lpstr>
      <vt:lpstr>'50FT'!Print_Area</vt:lpstr>
      <vt:lpstr>'600KP'!Print_Area</vt:lpstr>
      <vt:lpstr>'604KP'!Print_Area</vt:lpstr>
      <vt:lpstr>'606KP'!Print_Area</vt:lpstr>
      <vt:lpstr>'60FT'!Print_Area</vt:lpstr>
      <vt:lpstr>'61FT'!Print_Area</vt:lpstr>
      <vt:lpstr>'682WK'!Print_Area</vt:lpstr>
      <vt:lpstr>'683WK'!Print_Area</vt:lpstr>
      <vt:lpstr>'685WK'!Print_Area</vt:lpstr>
      <vt:lpstr>'688WK'!Print_Area</vt:lpstr>
      <vt:lpstr>'75WK'!Print_Area</vt:lpstr>
      <vt:lpstr>'81WK'!Print_Area</vt:lpstr>
      <vt:lpstr>'KMP58'!Print_Area</vt:lpstr>
      <vt:lpstr>'KMT41'!Print_Area</vt:lpstr>
      <vt:lpstr>'KMT42'!Print_Area</vt:lpstr>
      <vt:lpstr>'KWH88'!Print_Area</vt:lpstr>
      <vt:lpstr>'KWT70'!Print_Area</vt:lpstr>
      <vt:lpstr>SUMMARY!Print_Titles</vt:lpstr>
    </vt:vector>
  </TitlesOfParts>
  <Company>MIM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</dc:creator>
  <cp:lastModifiedBy>APU</cp:lastModifiedBy>
  <cp:lastPrinted>2023-08-30T10:46:19Z</cp:lastPrinted>
  <dcterms:created xsi:type="dcterms:W3CDTF">2004-12-19T10:55:20Z</dcterms:created>
  <dcterms:modified xsi:type="dcterms:W3CDTF">2023-08-30T10:50:28Z</dcterms:modified>
</cp:coreProperties>
</file>